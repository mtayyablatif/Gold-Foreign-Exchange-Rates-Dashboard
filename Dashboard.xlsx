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AccFinProjects\"/>
    </mc:Choice>
  </mc:AlternateContent>
  <xr:revisionPtr revIDLastSave="0" documentId="13_ncr:1_{C9CE3CCC-A4EA-4B4F-B8BD-1FFBE8096DDF}" xr6:coauthVersionLast="47" xr6:coauthVersionMax="47" xr10:uidLastSave="{00000000-0000-0000-0000-000000000000}"/>
  <bookViews>
    <workbookView xWindow="-110" yWindow="-110" windowWidth="19420" windowHeight="10300" xr2:uid="{B3BC8E6F-29A9-4A21-918A-8051C2416A8E}"/>
  </bookViews>
  <sheets>
    <sheet name="Dasboard Sheet" sheetId="1" r:id="rId1"/>
    <sheet name="YearlyTotalReserves" sheetId="3" r:id="rId2"/>
    <sheet name="2026Monthly" sheetId="4" r:id="rId3"/>
    <sheet name="YearlyMoM%" sheetId="5" r:id="rId4"/>
    <sheet name="YearlyYoY%" sheetId="6" r:id="rId5"/>
    <sheet name="Gold&amp;ForeignExchangeRateDataset" sheetId="2" r:id="rId6"/>
  </sheets>
  <definedNames>
    <definedName name="ExternalData_1" localSheetId="5" hidden="1">'Gold&amp;ForeignExchangeRateDataset'!$A$1:$E$132</definedName>
    <definedName name="NativeTimeline_Observation_Date">#N/A</definedName>
    <definedName name="Slicer_Years__Observation_Date">#N/A</definedName>
    <definedName name="Slicer_Years__Observation_Date1">#N/A</definedName>
  </definedNames>
  <calcPr calcId="191029"/>
  <pivotCaches>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5" i="2" l="1"/>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4"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E0A608-AEAF-4CE7-BCD3-A076E055FB4C}" keepAlive="1" name="Query - Gold&amp;ForeignExchangeRateDataset" description="Connection to the 'Gold&amp;ForeignExchangeRateDataset' query in the workbook." type="5" refreshedVersion="8" background="1" saveData="1">
    <dbPr connection="Provider=Microsoft.Mashup.OleDb.1;Data Source=$Workbook$;Location=Gold&amp;ForeignExchangeRateDataset;Extended Properties=&quot;&quot;" command="SELECT * FROM [Gold&amp;ForeignExchangeRateDataset]"/>
  </connection>
</connections>
</file>

<file path=xl/sharedStrings.xml><?xml version="1.0" encoding="utf-8"?>
<sst xmlns="http://schemas.openxmlformats.org/spreadsheetml/2006/main" count="198" uniqueCount="35">
  <si>
    <t>Observation Date</t>
  </si>
  <si>
    <t>Unit</t>
  </si>
  <si>
    <t>Gold reserves</t>
  </si>
  <si>
    <t>Total SBP Reserves</t>
  </si>
  <si>
    <t>Total Banks Reserves</t>
  </si>
  <si>
    <t>Million USD</t>
  </si>
  <si>
    <t>Total Reserves</t>
  </si>
  <si>
    <t>MoM%</t>
  </si>
  <si>
    <t>YoY%</t>
  </si>
  <si>
    <t>-</t>
  </si>
  <si>
    <t>Sum of Total SBP Reserves</t>
  </si>
  <si>
    <t>Sum of Total Banks Reserves</t>
  </si>
  <si>
    <t>Sum of Total Reserves</t>
  </si>
  <si>
    <t>Sum of Gold reserves</t>
  </si>
  <si>
    <t>Sum of YoY%</t>
  </si>
  <si>
    <t>Sum of MoM%</t>
  </si>
  <si>
    <t>Row Labels</t>
  </si>
  <si>
    <t>Grand Total</t>
  </si>
  <si>
    <t>2015</t>
  </si>
  <si>
    <t>2016</t>
  </si>
  <si>
    <t>2017</t>
  </si>
  <si>
    <t>2018</t>
  </si>
  <si>
    <t>2019</t>
  </si>
  <si>
    <t>2020</t>
  </si>
  <si>
    <t>2021</t>
  </si>
  <si>
    <t>2022</t>
  </si>
  <si>
    <t>2023</t>
  </si>
  <si>
    <t>2024</t>
  </si>
  <si>
    <t>2025</t>
  </si>
  <si>
    <t>2026</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</si>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</sst>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0" fontId="0" fillId="0" borderId="0" xfId="0" applyNumberFormat="1"/>
    <xf numFmtId="9" fontId="0" fillId="0" borderId="0" xfId="1" applyFont="1"/>
    <xf numFmtId="1" fontId="0" fillId="0" borderId="0" xfId="0" applyNumberFormat="1"/>
    <xf numFmtId="0" fontId="0" fillId="0" borderId="0" xfId="0" pivotButton="1"/>
    <xf numFmtId="1" fontId="2" fillId="0" borderId="0" xfId="0" applyNumberFormat="1" applyFont="1"/>
    <xf numFmtId="0" fontId="0" fillId="0" borderId="0" xfId="0" applyAlignment="1">
      <alignment horizontal="left"/>
    </xf>
    <xf numFmtId="9" fontId="0" fillId="0" borderId="0" xfId="0" applyNumberFormat="1"/>
  </cellXfs>
  <cellStyles count="2">
    <cellStyle name="Normal" xfId="0" builtinId="0"/>
    <cellStyle name="Percent" xfId="1" builtinId="5"/>
  </cellStyles>
  <dxfs count="11">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[Book1.xlsx]2026Monthly!PivotTable1</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'2026Monthly'!$B$3</c:f>
              <c:strCache>
                <c:ptCount val="1"/>
                <c:pt idx="0">
                  <c:v>Sum of Gold reserves</c:v>
                </c:pt>
              </c:strCache>
            </c:strRef>
          </c:tx>
          <c:spPr>
            <a:solidFill>
              <a:schemeClr val="accent1"/>
            </a:solidFill>
            <a:ln>
              <a:noFill/>
            </a:ln>
            <a:effectLst/>
          </c:spPr>
          <c:invertIfNegative val="0"/>
          <c:cat>
            <c:strRef>
              <c:f>'2026Monthly'!$A$4:$A$9</c:f>
              <c:strCache>
                <c:ptCount val="5"/>
                <c:pt idx="0">
                  <c:v>Jan</c:v>
                </c:pt>
                <c:pt idx="1">
                  <c:v>Feb</c:v>
                </c:pt>
                <c:pt idx="2">
                  <c:v>Mar</c:v>
                </c:pt>
                <c:pt idx="3">
                  <c:v>Apr</c:v>
                </c:pt>
                <c:pt idx="4">
                  <c:v>May</c:v>
                </c:pt>
              </c:strCache>
            </c:strRef>
          </c:cat>
          <c:val>
            <c:numRef>
              <c:f>'2026Monthly'!$B$4:$B$9</c:f>
              <c:numCache>
                <c:formatCode>0</c:formatCode>
                <c:ptCount val="5"/>
                <c:pt idx="0">
                  <c:v>10374.84146</c:v>
                </c:pt>
                <c:pt idx="1">
                  <c:v>10880.61</c:v>
                </c:pt>
                <c:pt idx="2">
                  <c:v>9601.4532650000001</c:v>
                </c:pt>
                <c:pt idx="3">
                  <c:v>9607.7000000000007</c:v>
                </c:pt>
                <c:pt idx="4">
                  <c:v>9472.17</c:v>
                </c:pt>
              </c:numCache>
            </c:numRef>
          </c:val>
          <c:extLst>
            <c:ext xmlns:c16="http://schemas.microsoft.com/office/drawing/2014/chart" uri="{C3380CC4-5D6E-409C-BE32-E72D297353CC}">
              <c16:uniqueId val="{00000005-9304-4985-AD6E-58FA6BAB2C43}"/>
            </c:ext>
          </c:extLst>
        </c:ser>
        <c:ser>
          <c:idx val="1"/>
          <c:order val="1"/>
          <c:tx>
            <c:strRef>
              <c:f>'2026Monthly'!$C$3</c:f>
              <c:strCache>
                <c:ptCount val="1"/>
                <c:pt idx="0">
                  <c:v>Sum of Total SBP Reserves</c:v>
                </c:pt>
              </c:strCache>
            </c:strRef>
          </c:tx>
          <c:spPr>
            <a:solidFill>
              <a:schemeClr val="accent2"/>
            </a:solidFill>
            <a:ln>
              <a:noFill/>
            </a:ln>
            <a:effectLst/>
          </c:spPr>
          <c:invertIfNegative val="0"/>
          <c:cat>
            <c:strRef>
              <c:f>'2026Monthly'!$A$4:$A$9</c:f>
              <c:strCache>
                <c:ptCount val="5"/>
                <c:pt idx="0">
                  <c:v>Jan</c:v>
                </c:pt>
                <c:pt idx="1">
                  <c:v>Feb</c:v>
                </c:pt>
                <c:pt idx="2">
                  <c:v>Mar</c:v>
                </c:pt>
                <c:pt idx="3">
                  <c:v>Apr</c:v>
                </c:pt>
                <c:pt idx="4">
                  <c:v>May</c:v>
                </c:pt>
              </c:strCache>
            </c:strRef>
          </c:cat>
          <c:val>
            <c:numRef>
              <c:f>'2026Monthly'!$C$4:$C$9</c:f>
              <c:numCache>
                <c:formatCode>0</c:formatCode>
                <c:ptCount val="5"/>
                <c:pt idx="0">
                  <c:v>16255.663769999999</c:v>
                </c:pt>
                <c:pt idx="1">
                  <c:v>16437.71731</c:v>
                </c:pt>
                <c:pt idx="2">
                  <c:v>16493.640800000001</c:v>
                </c:pt>
                <c:pt idx="3">
                  <c:v>15976.87</c:v>
                </c:pt>
                <c:pt idx="4">
                  <c:v>17269.86</c:v>
                </c:pt>
              </c:numCache>
            </c:numRef>
          </c:val>
          <c:extLst>
            <c:ext xmlns:c16="http://schemas.microsoft.com/office/drawing/2014/chart" uri="{C3380CC4-5D6E-409C-BE32-E72D297353CC}">
              <c16:uniqueId val="{00000007-9304-4985-AD6E-58FA6BAB2C43}"/>
            </c:ext>
          </c:extLst>
        </c:ser>
        <c:ser>
          <c:idx val="2"/>
          <c:order val="2"/>
          <c:tx>
            <c:strRef>
              <c:f>'2026Monthly'!$D$3</c:f>
              <c:strCache>
                <c:ptCount val="1"/>
                <c:pt idx="0">
                  <c:v>Sum of Total Banks Reserves</c:v>
                </c:pt>
              </c:strCache>
            </c:strRef>
          </c:tx>
          <c:spPr>
            <a:solidFill>
              <a:schemeClr val="accent3"/>
            </a:solidFill>
            <a:ln>
              <a:noFill/>
            </a:ln>
            <a:effectLst/>
          </c:spPr>
          <c:invertIfNegative val="0"/>
          <c:cat>
            <c:strRef>
              <c:f>'2026Monthly'!$A$4:$A$9</c:f>
              <c:strCache>
                <c:ptCount val="5"/>
                <c:pt idx="0">
                  <c:v>Jan</c:v>
                </c:pt>
                <c:pt idx="1">
                  <c:v>Feb</c:v>
                </c:pt>
                <c:pt idx="2">
                  <c:v>Mar</c:v>
                </c:pt>
                <c:pt idx="3">
                  <c:v>Apr</c:v>
                </c:pt>
                <c:pt idx="4">
                  <c:v>May</c:v>
                </c:pt>
              </c:strCache>
            </c:strRef>
          </c:cat>
          <c:val>
            <c:numRef>
              <c:f>'2026Monthly'!$D$4:$D$9</c:f>
              <c:numCache>
                <c:formatCode>0</c:formatCode>
                <c:ptCount val="5"/>
                <c:pt idx="0">
                  <c:v>2180.1859840000002</c:v>
                </c:pt>
                <c:pt idx="1">
                  <c:v>2196.8139120000001</c:v>
                </c:pt>
                <c:pt idx="2">
                  <c:v>2848.9473619999999</c:v>
                </c:pt>
                <c:pt idx="3">
                  <c:v>2782.45</c:v>
                </c:pt>
                <c:pt idx="4">
                  <c:v>2918.84</c:v>
                </c:pt>
              </c:numCache>
            </c:numRef>
          </c:val>
          <c:extLst>
            <c:ext xmlns:c16="http://schemas.microsoft.com/office/drawing/2014/chart" uri="{C3380CC4-5D6E-409C-BE32-E72D297353CC}">
              <c16:uniqueId val="{00000009-9304-4985-AD6E-58FA6BAB2C43}"/>
            </c:ext>
          </c:extLst>
        </c:ser>
        <c:ser>
          <c:idx val="3"/>
          <c:order val="3"/>
          <c:tx>
            <c:strRef>
              <c:f>'2026Monthly'!$E$3</c:f>
              <c:strCache>
                <c:ptCount val="1"/>
                <c:pt idx="0">
                  <c:v>Sum of Total Reserves</c:v>
                </c:pt>
              </c:strCache>
            </c:strRef>
          </c:tx>
          <c:spPr>
            <a:solidFill>
              <a:schemeClr val="accent4"/>
            </a:solidFill>
            <a:ln>
              <a:noFill/>
            </a:ln>
            <a:effectLst/>
          </c:spPr>
          <c:invertIfNegative val="0"/>
          <c:cat>
            <c:strRef>
              <c:f>'2026Monthly'!$A$4:$A$9</c:f>
              <c:strCache>
                <c:ptCount val="5"/>
                <c:pt idx="0">
                  <c:v>Jan</c:v>
                </c:pt>
                <c:pt idx="1">
                  <c:v>Feb</c:v>
                </c:pt>
                <c:pt idx="2">
                  <c:v>Mar</c:v>
                </c:pt>
                <c:pt idx="3">
                  <c:v>Apr</c:v>
                </c:pt>
                <c:pt idx="4">
                  <c:v>May</c:v>
                </c:pt>
              </c:strCache>
            </c:strRef>
          </c:cat>
          <c:val>
            <c:numRef>
              <c:f>'2026Monthly'!$E$4:$E$9</c:f>
              <c:numCache>
                <c:formatCode>0</c:formatCode>
                <c:ptCount val="5"/>
                <c:pt idx="0">
                  <c:v>18435.849753999999</c:v>
                </c:pt>
                <c:pt idx="1">
                  <c:v>18634.531222000001</c:v>
                </c:pt>
                <c:pt idx="2">
                  <c:v>19342.588162</c:v>
                </c:pt>
                <c:pt idx="3">
                  <c:v>18759.32</c:v>
                </c:pt>
                <c:pt idx="4">
                  <c:v>20188.7</c:v>
                </c:pt>
              </c:numCache>
            </c:numRef>
          </c:val>
          <c:extLst>
            <c:ext xmlns:c16="http://schemas.microsoft.com/office/drawing/2014/chart" uri="{C3380CC4-5D6E-409C-BE32-E72D297353CC}">
              <c16:uniqueId val="{0000000B-9304-4985-AD6E-58FA6BAB2C43}"/>
            </c:ext>
          </c:extLst>
        </c:ser>
        <c:dLbls>
          <c:showLegendKey val="0"/>
          <c:showVal val="0"/>
          <c:showCatName val="0"/>
          <c:showSerName val="0"/>
          <c:showPercent val="0"/>
          <c:showBubbleSize val="0"/>
        </c:dLbls>
        <c:gapWidth val="219"/>
        <c:overlap val="-27"/>
        <c:axId val="1278324248"/>
        <c:axId val="1278334328"/>
      </c:barChart>
      <c:catAx>
        <c:axId val="1278324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8334328"/>
        <c:crosses val="autoZero"/>
        <c:auto val="1"/>
        <c:lblAlgn val="ctr"/>
        <c:lblOffset val="100"/>
        <c:noMultiLvlLbl val="0"/>
      </c:catAx>
      <c:valAx>
        <c:axId val="1278334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832424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[Book1.xlsx]YearlyYoY%!PivotTable1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'YearlyYoY%'!$B$3</c:f>
              <c:strCache>
                <c:ptCount val="1"/>
                <c:pt idx="0">
                  <c:v>Total</c:v>
                </c:pt>
              </c:strCache>
            </c:strRef>
          </c:tx>
          <c:spPr>
            <a:solidFill>
              <a:schemeClr val="accent1"/>
            </a:solidFill>
            <a:ln>
              <a:noFill/>
            </a:ln>
            <a:effectLst/>
          </c:spPr>
          <c:invertIfNegative val="0"/>
          <c:cat>
            <c:strRef>
              <c:f>'YearlyYoY%'!$A$4:$A$16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'YearlyYoY%'!$B$4:$B$16</c:f>
              <c:numCache>
                <c:formatCode>0%</c:formatCode>
                <c:ptCount val="12"/>
                <c:pt idx="1">
                  <c:v>1.2135872625989963</c:v>
                </c:pt>
                <c:pt idx="2">
                  <c:v>-1.1095752864938562</c:v>
                </c:pt>
                <c:pt idx="3">
                  <c:v>-3.4318238726194976</c:v>
                </c:pt>
                <c:pt idx="4">
                  <c:v>-0.54042909309453657</c:v>
                </c:pt>
                <c:pt idx="5">
                  <c:v>3.823851918838526</c:v>
                </c:pt>
                <c:pt idx="6">
                  <c:v>2.8574418360704907</c:v>
                </c:pt>
                <c:pt idx="7">
                  <c:v>-3.9338444694886845</c:v>
                </c:pt>
                <c:pt idx="8">
                  <c:v>-2.8156793397914566</c:v>
                </c:pt>
                <c:pt idx="9">
                  <c:v>5.8876806855420938</c:v>
                </c:pt>
                <c:pt idx="10">
                  <c:v>3.129966642200535</c:v>
                </c:pt>
                <c:pt idx="11">
                  <c:v>2.0988887616923617</c:v>
                </c:pt>
              </c:numCache>
            </c:numRef>
          </c:val>
          <c:extLst>
            <c:ext xmlns:c16="http://schemas.microsoft.com/office/drawing/2014/chart" uri="{C3380CC4-5D6E-409C-BE32-E72D297353CC}">
              <c16:uniqueId val="{00000000-75BC-4F62-9542-E9CF653EFA51}"/>
            </c:ext>
          </c:extLst>
        </c:ser>
        <c:dLbls>
          <c:showLegendKey val="0"/>
          <c:showVal val="0"/>
          <c:showCatName val="0"/>
          <c:showSerName val="0"/>
          <c:showPercent val="0"/>
          <c:showBubbleSize val="0"/>
        </c:dLbls>
        <c:gapWidth val="219"/>
        <c:overlap val="-27"/>
        <c:axId val="377626432"/>
        <c:axId val="377624992"/>
      </c:barChart>
      <c:catAx>
        <c:axId val="3776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7624992"/>
        <c:crosses val="autoZero"/>
        <c:auto val="1"/>
        <c:lblAlgn val="ctr"/>
        <c:lblOffset val="100"/>
        <c:noMultiLvlLbl val="0"/>
      </c:catAx>
      <c:valAx>
        <c:axId val="377624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762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[Book1.xlsx]YearlyMoM%!PivotTable1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'YearlyMoM%'!$B$3</c:f>
              <c:strCache>
                <c:ptCount val="1"/>
                <c:pt idx="0">
                  <c:v>Total</c:v>
                </c:pt>
              </c:strCache>
            </c:strRef>
          </c:tx>
          <c:spPr>
            <a:solidFill>
              <a:schemeClr val="accent1"/>
            </a:solidFill>
            <a:ln>
              <a:noFill/>
            </a:ln>
            <a:effectLst/>
          </c:spPr>
          <c:invertIfNegative val="0"/>
          <c:cat>
            <c:strRef>
              <c:f>'YearlyMoM%'!$A$4:$A$16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'YearlyMoM%'!$B$4:$B$16</c:f>
              <c:numCache>
                <c:formatCode>0%</c:formatCode>
                <c:ptCount val="12"/>
                <c:pt idx="0">
                  <c:v>0.13167988197939381</c:v>
                </c:pt>
                <c:pt idx="1">
                  <c:v>9.5054591025001633E-2</c:v>
                </c:pt>
                <c:pt idx="2">
                  <c:v>-0.21024118123249991</c:v>
                </c:pt>
                <c:pt idx="3">
                  <c:v>-0.29565277578855687</c:v>
                </c:pt>
                <c:pt idx="4">
                  <c:v>0.38938266585860437</c:v>
                </c:pt>
                <c:pt idx="5">
                  <c:v>0.10294893783751968</c:v>
                </c:pt>
                <c:pt idx="6">
                  <c:v>0.16962987481772218</c:v>
                </c:pt>
                <c:pt idx="7">
                  <c:v>-1.132341981886428</c:v>
                </c:pt>
                <c:pt idx="8">
                  <c:v>0.8515267613256845</c:v>
                </c:pt>
                <c:pt idx="9">
                  <c:v>0.25116171525243697</c:v>
                </c:pt>
                <c:pt idx="10">
                  <c:v>0.32024286945538749</c:v>
                </c:pt>
                <c:pt idx="11">
                  <c:v>-0.90518493838740643</c:v>
                </c:pt>
              </c:numCache>
            </c:numRef>
          </c:val>
          <c:extLst>
            <c:ext xmlns:c16="http://schemas.microsoft.com/office/drawing/2014/chart" uri="{C3380CC4-5D6E-409C-BE32-E72D297353CC}">
              <c16:uniqueId val="{00000000-CE31-49B1-97E4-25833BB48D7C}"/>
            </c:ext>
          </c:extLst>
        </c:ser>
        <c:dLbls>
          <c:showLegendKey val="0"/>
          <c:showVal val="0"/>
          <c:showCatName val="0"/>
          <c:showSerName val="0"/>
          <c:showPercent val="0"/>
          <c:showBubbleSize val="0"/>
        </c:dLbls>
        <c:gapWidth val="219"/>
        <c:overlap val="-27"/>
        <c:axId val="377633992"/>
        <c:axId val="377632552"/>
      </c:barChart>
      <c:catAx>
        <c:axId val="37763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7632552"/>
        <c:crosses val="autoZero"/>
        <c:auto val="1"/>
        <c:lblAlgn val="ctr"/>
        <c:lblOffset val="100"/>
        <c:noMultiLvlLbl val="0"/>
      </c:catAx>
      <c:valAx>
        <c:axId val="377632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7633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[Book1.xlsx]YearlyTotalReserves!PivotTable1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YearlyTotalReserves!$B$3</c:f>
              <c:strCache>
                <c:ptCount val="1"/>
                <c:pt idx="0">
                  <c:v>Sum of Total SBP Reserves</c:v>
                </c:pt>
              </c:strCache>
            </c:strRef>
          </c:tx>
          <c:spPr>
            <a:solidFill>
              <a:schemeClr val="accent1"/>
            </a:solidFill>
            <a:ln>
              <a:noFill/>
            </a:ln>
            <a:effectLst/>
          </c:spPr>
          <c:invertIfNegative val="0"/>
          <c:cat>
            <c:strRef>
              <c:f>YearlyTotalReserves!$A$4:$A$16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YearlyTotalReserves!$B$4:$B$16</c:f>
              <c:numCache>
                <c:formatCode>0</c:formatCode>
                <c:ptCount val="12"/>
                <c:pt idx="0">
                  <c:v>88249</c:v>
                </c:pt>
                <c:pt idx="1">
                  <c:v>208711.09999999998</c:v>
                </c:pt>
                <c:pt idx="2">
                  <c:v>184619.3</c:v>
                </c:pt>
                <c:pt idx="3">
                  <c:v>121573.40000000002</c:v>
                </c:pt>
                <c:pt idx="4">
                  <c:v>108984.70000000001</c:v>
                </c:pt>
                <c:pt idx="5">
                  <c:v>150790.29999999999</c:v>
                </c:pt>
                <c:pt idx="6">
                  <c:v>198711.1</c:v>
                </c:pt>
                <c:pt idx="7">
                  <c:v>123571.22000000002</c:v>
                </c:pt>
                <c:pt idx="8">
                  <c:v>71126.686947000009</c:v>
                </c:pt>
                <c:pt idx="9">
                  <c:v>117451.480853</c:v>
                </c:pt>
                <c:pt idx="10">
                  <c:v>158930.18430999998</c:v>
                </c:pt>
                <c:pt idx="11">
                  <c:v>82433.751879999996</c:v>
                </c:pt>
              </c:numCache>
            </c:numRef>
          </c:val>
          <c:extLst>
            <c:ext xmlns:c16="http://schemas.microsoft.com/office/drawing/2014/chart" uri="{C3380CC4-5D6E-409C-BE32-E72D297353CC}">
              <c16:uniqueId val="{00000000-EFBA-494C-AAF5-E6D24E76F004}"/>
            </c:ext>
          </c:extLst>
        </c:ser>
        <c:ser>
          <c:idx val="1"/>
          <c:order val="1"/>
          <c:tx>
            <c:strRef>
              <c:f>YearlyTotalReserves!$C$3</c:f>
              <c:strCache>
                <c:ptCount val="1"/>
                <c:pt idx="0">
                  <c:v>Sum of Total Banks Reserves</c:v>
                </c:pt>
              </c:strCache>
            </c:strRef>
          </c:tx>
          <c:spPr>
            <a:solidFill>
              <a:schemeClr val="accent2"/>
            </a:solidFill>
            <a:ln>
              <a:noFill/>
            </a:ln>
            <a:effectLst/>
          </c:spPr>
          <c:invertIfNegative val="0"/>
          <c:cat>
            <c:strRef>
              <c:f>YearlyTotalReserves!$A$4:$A$16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YearlyTotalReserves!$C$4:$C$16</c:f>
              <c:numCache>
                <c:formatCode>0</c:formatCode>
                <c:ptCount val="12"/>
                <c:pt idx="0">
                  <c:v>16373.3</c:v>
                </c:pt>
                <c:pt idx="1">
                  <c:v>29993.200000000001</c:v>
                </c:pt>
                <c:pt idx="2">
                  <c:v>30427.7</c:v>
                </c:pt>
                <c:pt idx="3">
                  <c:v>32472.299999999996</c:v>
                </c:pt>
                <c:pt idx="4">
                  <c:v>34593.800000000003</c:v>
                </c:pt>
                <c:pt idx="5">
                  <c:v>37441.1</c:v>
                </c:pt>
                <c:pt idx="6">
                  <c:v>33579</c:v>
                </c:pt>
                <c:pt idx="7">
                  <c:v>28079.339999999997</c:v>
                </c:pt>
                <c:pt idx="8">
                  <c:v>31897.798623999999</c:v>
                </c:pt>
                <c:pt idx="9">
                  <c:v>29882.068484000003</c:v>
                </c:pt>
                <c:pt idx="10">
                  <c:v>26890.107181999996</c:v>
                </c:pt>
                <c:pt idx="11">
                  <c:v>12927.237258000001</c:v>
                </c:pt>
              </c:numCache>
            </c:numRef>
          </c:val>
          <c:extLst>
            <c:ext xmlns:c16="http://schemas.microsoft.com/office/drawing/2014/chart" uri="{C3380CC4-5D6E-409C-BE32-E72D297353CC}">
              <c16:uniqueId val="{00000001-EFBA-494C-AAF5-E6D24E76F004}"/>
            </c:ext>
          </c:extLst>
        </c:ser>
        <c:ser>
          <c:idx val="2"/>
          <c:order val="2"/>
          <c:tx>
            <c:strRef>
              <c:f>YearlyTotalReserves!$D$3</c:f>
              <c:strCache>
                <c:ptCount val="1"/>
                <c:pt idx="0">
                  <c:v>Sum of Total Reserves</c:v>
                </c:pt>
              </c:strCache>
            </c:strRef>
          </c:tx>
          <c:spPr>
            <a:solidFill>
              <a:schemeClr val="accent3"/>
            </a:solidFill>
            <a:ln>
              <a:noFill/>
            </a:ln>
            <a:effectLst/>
          </c:spPr>
          <c:invertIfNegative val="0"/>
          <c:cat>
            <c:strRef>
              <c:f>YearlyTotalReserves!$A$4:$A$16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YearlyTotalReserves!$D$4:$D$16</c:f>
              <c:numCache>
                <c:formatCode>0</c:formatCode>
                <c:ptCount val="12"/>
                <c:pt idx="0">
                  <c:v>104622.29999999999</c:v>
                </c:pt>
                <c:pt idx="1">
                  <c:v>238704.3</c:v>
                </c:pt>
                <c:pt idx="2">
                  <c:v>215046.99999999997</c:v>
                </c:pt>
                <c:pt idx="3">
                  <c:v>154045.69999999998</c:v>
                </c:pt>
                <c:pt idx="4">
                  <c:v>143578.5</c:v>
                </c:pt>
                <c:pt idx="5">
                  <c:v>188231.4</c:v>
                </c:pt>
                <c:pt idx="6">
                  <c:v>232290.09999999998</c:v>
                </c:pt>
                <c:pt idx="7">
                  <c:v>151650.55999999997</c:v>
                </c:pt>
                <c:pt idx="8">
                  <c:v>103024.485571</c:v>
                </c:pt>
                <c:pt idx="9">
                  <c:v>147333.54933699997</c:v>
                </c:pt>
                <c:pt idx="10">
                  <c:v>185820.29149199999</c:v>
                </c:pt>
                <c:pt idx="11">
                  <c:v>95360.98913799999</c:v>
                </c:pt>
              </c:numCache>
            </c:numRef>
          </c:val>
          <c:extLst>
            <c:ext xmlns:c16="http://schemas.microsoft.com/office/drawing/2014/chart" uri="{C3380CC4-5D6E-409C-BE32-E72D297353CC}">
              <c16:uniqueId val="{00000002-EFBA-494C-AAF5-E6D24E76F004}"/>
            </c:ext>
          </c:extLst>
        </c:ser>
        <c:dLbls>
          <c:showLegendKey val="0"/>
          <c:showVal val="0"/>
          <c:showCatName val="0"/>
          <c:showSerName val="0"/>
          <c:showPercent val="0"/>
          <c:showBubbleSize val="0"/>
        </c:dLbls>
        <c:gapWidth val="219"/>
        <c:overlap val="-27"/>
        <c:axId val="1278328208"/>
        <c:axId val="1278330008"/>
      </c:barChart>
      <c:catAx>
        <c:axId val="12783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8330008"/>
        <c:crosses val="autoZero"/>
        <c:auto val="1"/>
        <c:lblAlgn val="ctr"/>
        <c:lblOffset val="100"/>
        <c:noMultiLvlLbl val="0"/>
      </c:catAx>
      <c:valAx>
        <c:axId val="1278330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832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[Book1.xlsx]YearlyTotalReserves!PivotTable1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YearlyTotalReserves!$B$3</c:f>
              <c:strCache>
                <c:ptCount val="1"/>
                <c:pt idx="0">
                  <c:v>Sum of Total SBP Reserves</c:v>
                </c:pt>
              </c:strCache>
            </c:strRef>
          </c:tx>
          <c:spPr>
            <a:solidFill>
              <a:schemeClr val="accent1"/>
            </a:solidFill>
            <a:ln>
              <a:noFill/>
            </a:ln>
            <a:effectLst/>
          </c:spPr>
          <c:invertIfNegative val="0"/>
          <c:cat>
            <c:strRef>
              <c:f>YearlyTotalReserves!$A$4:$A$16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YearlyTotalReserves!$B$4:$B$16</c:f>
              <c:numCache>
                <c:formatCode>0</c:formatCode>
                <c:ptCount val="12"/>
                <c:pt idx="0">
                  <c:v>88249</c:v>
                </c:pt>
                <c:pt idx="1">
                  <c:v>208711.09999999998</c:v>
                </c:pt>
                <c:pt idx="2">
                  <c:v>184619.3</c:v>
                </c:pt>
                <c:pt idx="3">
                  <c:v>121573.40000000002</c:v>
                </c:pt>
                <c:pt idx="4">
                  <c:v>108984.70000000001</c:v>
                </c:pt>
                <c:pt idx="5">
                  <c:v>150790.29999999999</c:v>
                </c:pt>
                <c:pt idx="6">
                  <c:v>198711.1</c:v>
                </c:pt>
                <c:pt idx="7">
                  <c:v>123571.22000000002</c:v>
                </c:pt>
                <c:pt idx="8">
                  <c:v>71126.686947000009</c:v>
                </c:pt>
                <c:pt idx="9">
                  <c:v>117451.480853</c:v>
                </c:pt>
                <c:pt idx="10">
                  <c:v>158930.18430999998</c:v>
                </c:pt>
                <c:pt idx="11">
                  <c:v>82433.751879999996</c:v>
                </c:pt>
              </c:numCache>
            </c:numRef>
          </c:val>
          <c:extLst>
            <c:ext xmlns:c16="http://schemas.microsoft.com/office/drawing/2014/chart" uri="{C3380CC4-5D6E-409C-BE32-E72D297353CC}">
              <c16:uniqueId val="{00000000-D2DB-41D5-B7EC-90AED5C28D7B}"/>
            </c:ext>
          </c:extLst>
        </c:ser>
        <c:ser>
          <c:idx val="1"/>
          <c:order val="1"/>
          <c:tx>
            <c:strRef>
              <c:f>YearlyTotalReserves!$C$3</c:f>
              <c:strCache>
                <c:ptCount val="1"/>
                <c:pt idx="0">
                  <c:v>Sum of Total Banks Reserves</c:v>
                </c:pt>
              </c:strCache>
            </c:strRef>
          </c:tx>
          <c:spPr>
            <a:solidFill>
              <a:schemeClr val="accent2"/>
            </a:solidFill>
            <a:ln>
              <a:noFill/>
            </a:ln>
            <a:effectLst/>
          </c:spPr>
          <c:invertIfNegative val="0"/>
          <c:cat>
            <c:strRef>
              <c:f>YearlyTotalReserves!$A$4:$A$16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YearlyTotalReserves!$C$4:$C$16</c:f>
              <c:numCache>
                <c:formatCode>0</c:formatCode>
                <c:ptCount val="12"/>
                <c:pt idx="0">
                  <c:v>16373.3</c:v>
                </c:pt>
                <c:pt idx="1">
                  <c:v>29993.200000000001</c:v>
                </c:pt>
                <c:pt idx="2">
                  <c:v>30427.7</c:v>
                </c:pt>
                <c:pt idx="3">
                  <c:v>32472.299999999996</c:v>
                </c:pt>
                <c:pt idx="4">
                  <c:v>34593.800000000003</c:v>
                </c:pt>
                <c:pt idx="5">
                  <c:v>37441.1</c:v>
                </c:pt>
                <c:pt idx="6">
                  <c:v>33579</c:v>
                </c:pt>
                <c:pt idx="7">
                  <c:v>28079.339999999997</c:v>
                </c:pt>
                <c:pt idx="8">
                  <c:v>31897.798623999999</c:v>
                </c:pt>
                <c:pt idx="9">
                  <c:v>29882.068484000003</c:v>
                </c:pt>
                <c:pt idx="10">
                  <c:v>26890.107181999996</c:v>
                </c:pt>
                <c:pt idx="11">
                  <c:v>12927.237258000001</c:v>
                </c:pt>
              </c:numCache>
            </c:numRef>
          </c:val>
          <c:extLst>
            <c:ext xmlns:c16="http://schemas.microsoft.com/office/drawing/2014/chart" uri="{C3380CC4-5D6E-409C-BE32-E72D297353CC}">
              <c16:uniqueId val="{00000001-D2DB-41D5-B7EC-90AED5C28D7B}"/>
            </c:ext>
          </c:extLst>
        </c:ser>
        <c:ser>
          <c:idx val="2"/>
          <c:order val="2"/>
          <c:tx>
            <c:strRef>
              <c:f>YearlyTotalReserves!$D$3</c:f>
              <c:strCache>
                <c:ptCount val="1"/>
                <c:pt idx="0">
                  <c:v>Sum of Total Reserves</c:v>
                </c:pt>
              </c:strCache>
            </c:strRef>
          </c:tx>
          <c:spPr>
            <a:solidFill>
              <a:schemeClr val="accent3"/>
            </a:solidFill>
            <a:ln>
              <a:noFill/>
            </a:ln>
            <a:effectLst/>
          </c:spPr>
          <c:invertIfNegative val="0"/>
          <c:cat>
            <c:strRef>
              <c:f>YearlyTotalReserves!$A$4:$A$16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YearlyTotalReserves!$D$4:$D$16</c:f>
              <c:numCache>
                <c:formatCode>0</c:formatCode>
                <c:ptCount val="12"/>
                <c:pt idx="0">
                  <c:v>104622.29999999999</c:v>
                </c:pt>
                <c:pt idx="1">
                  <c:v>238704.3</c:v>
                </c:pt>
                <c:pt idx="2">
                  <c:v>215046.99999999997</c:v>
                </c:pt>
                <c:pt idx="3">
                  <c:v>154045.69999999998</c:v>
                </c:pt>
                <c:pt idx="4">
                  <c:v>143578.5</c:v>
                </c:pt>
                <c:pt idx="5">
                  <c:v>188231.4</c:v>
                </c:pt>
                <c:pt idx="6">
                  <c:v>232290.09999999998</c:v>
                </c:pt>
                <c:pt idx="7">
                  <c:v>151650.55999999997</c:v>
                </c:pt>
                <c:pt idx="8">
                  <c:v>103024.485571</c:v>
                </c:pt>
                <c:pt idx="9">
                  <c:v>147333.54933699997</c:v>
                </c:pt>
                <c:pt idx="10">
                  <c:v>185820.29149199999</c:v>
                </c:pt>
                <c:pt idx="11">
                  <c:v>95360.98913799999</c:v>
                </c:pt>
              </c:numCache>
            </c:numRef>
          </c:val>
          <c:extLst>
            <c:ext xmlns:c16="http://schemas.microsoft.com/office/drawing/2014/chart" uri="{C3380CC4-5D6E-409C-BE32-E72D297353CC}">
              <c16:uniqueId val="{00000002-D2DB-41D5-B7EC-90AED5C28D7B}"/>
            </c:ext>
          </c:extLst>
        </c:ser>
        <c:dLbls>
          <c:showLegendKey val="0"/>
          <c:showVal val="0"/>
          <c:showCatName val="0"/>
          <c:showSerName val="0"/>
          <c:showPercent val="0"/>
          <c:showBubbleSize val="0"/>
        </c:dLbls>
        <c:gapWidth val="219"/>
        <c:overlap val="-27"/>
        <c:axId val="1278328208"/>
        <c:axId val="1278330008"/>
      </c:barChart>
      <c:catAx>
        <c:axId val="12783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8330008"/>
        <c:crosses val="autoZero"/>
        <c:auto val="1"/>
        <c:lblAlgn val="ctr"/>
        <c:lblOffset val="100"/>
        <c:noMultiLvlLbl val="0"/>
      </c:catAx>
      <c:valAx>
        <c:axId val="1278330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832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[Book1.xlsx]2026Monthly!PivotTable1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'2026Monthly'!$B$3</c:f>
              <c:strCache>
                <c:ptCount val="1"/>
                <c:pt idx="0">
                  <c:v>Sum of Gold reserves</c:v>
                </c:pt>
              </c:strCache>
            </c:strRef>
          </c:tx>
          <c:spPr>
            <a:solidFill>
              <a:schemeClr val="accent1"/>
            </a:solidFill>
            <a:ln>
              <a:noFill/>
            </a:ln>
            <a:effectLst/>
          </c:spPr>
          <c:invertIfNegative val="0"/>
          <c:cat>
            <c:strRef>
              <c:f>'2026Monthly'!$A$4:$A$9</c:f>
              <c:strCache>
                <c:ptCount val="5"/>
                <c:pt idx="0">
                  <c:v>Jan</c:v>
                </c:pt>
                <c:pt idx="1">
                  <c:v>Feb</c:v>
                </c:pt>
                <c:pt idx="2">
                  <c:v>Mar</c:v>
                </c:pt>
                <c:pt idx="3">
                  <c:v>Apr</c:v>
                </c:pt>
                <c:pt idx="4">
                  <c:v>May</c:v>
                </c:pt>
              </c:strCache>
            </c:strRef>
          </c:cat>
          <c:val>
            <c:numRef>
              <c:f>'2026Monthly'!$B$4:$B$9</c:f>
              <c:numCache>
                <c:formatCode>0</c:formatCode>
                <c:ptCount val="5"/>
                <c:pt idx="0">
                  <c:v>10374.84146</c:v>
                </c:pt>
                <c:pt idx="1">
                  <c:v>10880.61</c:v>
                </c:pt>
                <c:pt idx="2">
                  <c:v>9601.4532650000001</c:v>
                </c:pt>
                <c:pt idx="3">
                  <c:v>9607.7000000000007</c:v>
                </c:pt>
                <c:pt idx="4">
                  <c:v>9472.17</c:v>
                </c:pt>
              </c:numCache>
            </c:numRef>
          </c:val>
          <c:extLst>
            <c:ext xmlns:c16="http://schemas.microsoft.com/office/drawing/2014/chart" uri="{C3380CC4-5D6E-409C-BE32-E72D297353CC}">
              <c16:uniqueId val="{00000000-BD15-4126-9174-FCCBF39D8C08}"/>
            </c:ext>
          </c:extLst>
        </c:ser>
        <c:ser>
          <c:idx val="1"/>
          <c:order val="1"/>
          <c:tx>
            <c:strRef>
              <c:f>'2026Monthly'!$C$3</c:f>
              <c:strCache>
                <c:ptCount val="1"/>
                <c:pt idx="0">
                  <c:v>Sum of Total SBP Reserves</c:v>
                </c:pt>
              </c:strCache>
            </c:strRef>
          </c:tx>
          <c:spPr>
            <a:solidFill>
              <a:schemeClr val="accent2"/>
            </a:solidFill>
            <a:ln>
              <a:noFill/>
            </a:ln>
            <a:effectLst/>
          </c:spPr>
          <c:invertIfNegative val="0"/>
          <c:cat>
            <c:strRef>
              <c:f>'2026Monthly'!$A$4:$A$9</c:f>
              <c:strCache>
                <c:ptCount val="5"/>
                <c:pt idx="0">
                  <c:v>Jan</c:v>
                </c:pt>
                <c:pt idx="1">
                  <c:v>Feb</c:v>
                </c:pt>
                <c:pt idx="2">
                  <c:v>Mar</c:v>
                </c:pt>
                <c:pt idx="3">
                  <c:v>Apr</c:v>
                </c:pt>
                <c:pt idx="4">
                  <c:v>May</c:v>
                </c:pt>
              </c:strCache>
            </c:strRef>
          </c:cat>
          <c:val>
            <c:numRef>
              <c:f>'2026Monthly'!$C$4:$C$9</c:f>
              <c:numCache>
                <c:formatCode>0</c:formatCode>
                <c:ptCount val="5"/>
                <c:pt idx="0">
                  <c:v>16255.663769999999</c:v>
                </c:pt>
                <c:pt idx="1">
                  <c:v>16437.71731</c:v>
                </c:pt>
                <c:pt idx="2">
                  <c:v>16493.640800000001</c:v>
                </c:pt>
                <c:pt idx="3">
                  <c:v>15976.87</c:v>
                </c:pt>
                <c:pt idx="4">
                  <c:v>17269.86</c:v>
                </c:pt>
              </c:numCache>
            </c:numRef>
          </c:val>
          <c:extLst>
            <c:ext xmlns:c16="http://schemas.microsoft.com/office/drawing/2014/chart" uri="{C3380CC4-5D6E-409C-BE32-E72D297353CC}">
              <c16:uniqueId val="{00000001-BD15-4126-9174-FCCBF39D8C08}"/>
            </c:ext>
          </c:extLst>
        </c:ser>
        <c:ser>
          <c:idx val="2"/>
          <c:order val="2"/>
          <c:tx>
            <c:strRef>
              <c:f>'2026Monthly'!$D$3</c:f>
              <c:strCache>
                <c:ptCount val="1"/>
                <c:pt idx="0">
                  <c:v>Sum of Total Banks Reserves</c:v>
                </c:pt>
              </c:strCache>
            </c:strRef>
          </c:tx>
          <c:spPr>
            <a:solidFill>
              <a:schemeClr val="accent3"/>
            </a:solidFill>
            <a:ln>
              <a:noFill/>
            </a:ln>
            <a:effectLst/>
          </c:spPr>
          <c:invertIfNegative val="0"/>
          <c:cat>
            <c:strRef>
              <c:f>'2026Monthly'!$A$4:$A$9</c:f>
              <c:strCache>
                <c:ptCount val="5"/>
                <c:pt idx="0">
                  <c:v>Jan</c:v>
                </c:pt>
                <c:pt idx="1">
                  <c:v>Feb</c:v>
                </c:pt>
                <c:pt idx="2">
                  <c:v>Mar</c:v>
                </c:pt>
                <c:pt idx="3">
                  <c:v>Apr</c:v>
                </c:pt>
                <c:pt idx="4">
                  <c:v>May</c:v>
                </c:pt>
              </c:strCache>
            </c:strRef>
          </c:cat>
          <c:val>
            <c:numRef>
              <c:f>'2026Monthly'!$D$4:$D$9</c:f>
              <c:numCache>
                <c:formatCode>0</c:formatCode>
                <c:ptCount val="5"/>
                <c:pt idx="0">
                  <c:v>2180.1859840000002</c:v>
                </c:pt>
                <c:pt idx="1">
                  <c:v>2196.8139120000001</c:v>
                </c:pt>
                <c:pt idx="2">
                  <c:v>2848.9473619999999</c:v>
                </c:pt>
                <c:pt idx="3">
                  <c:v>2782.45</c:v>
                </c:pt>
                <c:pt idx="4">
                  <c:v>2918.84</c:v>
                </c:pt>
              </c:numCache>
            </c:numRef>
          </c:val>
          <c:extLst>
            <c:ext xmlns:c16="http://schemas.microsoft.com/office/drawing/2014/chart" uri="{C3380CC4-5D6E-409C-BE32-E72D297353CC}">
              <c16:uniqueId val="{00000002-BD15-4126-9174-FCCBF39D8C08}"/>
            </c:ext>
          </c:extLst>
        </c:ser>
        <c:ser>
          <c:idx val="3"/>
          <c:order val="3"/>
          <c:tx>
            <c:strRef>
              <c:f>'2026Monthly'!$E$3</c:f>
              <c:strCache>
                <c:ptCount val="1"/>
                <c:pt idx="0">
                  <c:v>Sum of Total Reserves</c:v>
                </c:pt>
              </c:strCache>
            </c:strRef>
          </c:tx>
          <c:spPr>
            <a:solidFill>
              <a:schemeClr val="accent4"/>
            </a:solidFill>
            <a:ln>
              <a:noFill/>
            </a:ln>
            <a:effectLst/>
          </c:spPr>
          <c:invertIfNegative val="0"/>
          <c:cat>
            <c:strRef>
              <c:f>'2026Monthly'!$A$4:$A$9</c:f>
              <c:strCache>
                <c:ptCount val="5"/>
                <c:pt idx="0">
                  <c:v>Jan</c:v>
                </c:pt>
                <c:pt idx="1">
                  <c:v>Feb</c:v>
                </c:pt>
                <c:pt idx="2">
                  <c:v>Mar</c:v>
                </c:pt>
                <c:pt idx="3">
                  <c:v>Apr</c:v>
                </c:pt>
                <c:pt idx="4">
                  <c:v>May</c:v>
                </c:pt>
              </c:strCache>
            </c:strRef>
          </c:cat>
          <c:val>
            <c:numRef>
              <c:f>'2026Monthly'!$E$4:$E$9</c:f>
              <c:numCache>
                <c:formatCode>0</c:formatCode>
                <c:ptCount val="5"/>
                <c:pt idx="0">
                  <c:v>18435.849753999999</c:v>
                </c:pt>
                <c:pt idx="1">
                  <c:v>18634.531222000001</c:v>
                </c:pt>
                <c:pt idx="2">
                  <c:v>19342.588162</c:v>
                </c:pt>
                <c:pt idx="3">
                  <c:v>18759.32</c:v>
                </c:pt>
                <c:pt idx="4">
                  <c:v>20188.7</c:v>
                </c:pt>
              </c:numCache>
            </c:numRef>
          </c:val>
          <c:extLst>
            <c:ext xmlns:c16="http://schemas.microsoft.com/office/drawing/2014/chart" uri="{C3380CC4-5D6E-409C-BE32-E72D297353CC}">
              <c16:uniqueId val="{00000003-BD15-4126-9174-FCCBF39D8C08}"/>
            </c:ext>
          </c:extLst>
        </c:ser>
        <c:dLbls>
          <c:showLegendKey val="0"/>
          <c:showVal val="0"/>
          <c:showCatName val="0"/>
          <c:showSerName val="0"/>
          <c:showPercent val="0"/>
          <c:showBubbleSize val="0"/>
        </c:dLbls>
        <c:gapWidth val="219"/>
        <c:overlap val="-27"/>
        <c:axId val="1278324248"/>
        <c:axId val="1278334328"/>
      </c:barChart>
      <c:catAx>
        <c:axId val="1278324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8334328"/>
        <c:crosses val="autoZero"/>
        <c:auto val="1"/>
        <c:lblAlgn val="ctr"/>
        <c:lblOffset val="100"/>
        <c:noMultiLvlLbl val="0"/>
      </c:catAx>
      <c:valAx>
        <c:axId val="1278334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8324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[Book1.xlsx]YearlyMoM%!PivotTable1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'YearlyMoM%'!$B$3</c:f>
              <c:strCache>
                <c:ptCount val="1"/>
                <c:pt idx="0">
                  <c:v>Total</c:v>
                </c:pt>
              </c:strCache>
            </c:strRef>
          </c:tx>
          <c:spPr>
            <a:solidFill>
              <a:schemeClr val="accent1"/>
            </a:solidFill>
            <a:ln>
              <a:noFill/>
            </a:ln>
            <a:effectLst/>
          </c:spPr>
          <c:invertIfNegative val="0"/>
          <c:cat>
            <c:strRef>
              <c:f>'YearlyMoM%'!$A$4:$A$16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'YearlyMoM%'!$B$4:$B$16</c:f>
              <c:numCache>
                <c:formatCode>0%</c:formatCode>
                <c:ptCount val="12"/>
                <c:pt idx="0">
                  <c:v>0.13167988197939381</c:v>
                </c:pt>
                <c:pt idx="1">
                  <c:v>9.5054591025001633E-2</c:v>
                </c:pt>
                <c:pt idx="2">
                  <c:v>-0.21024118123249991</c:v>
                </c:pt>
                <c:pt idx="3">
                  <c:v>-0.29565277578855687</c:v>
                </c:pt>
                <c:pt idx="4">
                  <c:v>0.38938266585860437</c:v>
                </c:pt>
                <c:pt idx="5">
                  <c:v>0.10294893783751968</c:v>
                </c:pt>
                <c:pt idx="6">
                  <c:v>0.16962987481772218</c:v>
                </c:pt>
                <c:pt idx="7">
                  <c:v>-1.132341981886428</c:v>
                </c:pt>
                <c:pt idx="8">
                  <c:v>0.8515267613256845</c:v>
                </c:pt>
                <c:pt idx="9">
                  <c:v>0.25116171525243697</c:v>
                </c:pt>
                <c:pt idx="10">
                  <c:v>0.32024286945538749</c:v>
                </c:pt>
                <c:pt idx="11">
                  <c:v>-0.90518493838740643</c:v>
                </c:pt>
              </c:numCache>
            </c:numRef>
          </c:val>
          <c:extLst>
            <c:ext xmlns:c16="http://schemas.microsoft.com/office/drawing/2014/chart" uri="{C3380CC4-5D6E-409C-BE32-E72D297353CC}">
              <c16:uniqueId val="{00000000-84BF-418A-97B7-043A2A31A97D}"/>
            </c:ext>
          </c:extLst>
        </c:ser>
        <c:dLbls>
          <c:showLegendKey val="0"/>
          <c:showVal val="0"/>
          <c:showCatName val="0"/>
          <c:showSerName val="0"/>
          <c:showPercent val="0"/>
          <c:showBubbleSize val="0"/>
        </c:dLbls>
        <c:gapWidth val="219"/>
        <c:overlap val="-27"/>
        <c:axId val="377633992"/>
        <c:axId val="377632552"/>
      </c:barChart>
      <c:catAx>
        <c:axId val="37763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7632552"/>
        <c:crosses val="autoZero"/>
        <c:auto val="1"/>
        <c:lblAlgn val="ctr"/>
        <c:lblOffset val="100"/>
        <c:noMultiLvlLbl val="0"/>
      </c:catAx>
      <c:valAx>
        <c:axId val="377632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7633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[Book1.xlsx]YearlyYoY%!PivotTable1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'YearlyYoY%'!$B$3</c:f>
              <c:strCache>
                <c:ptCount val="1"/>
                <c:pt idx="0">
                  <c:v>Total</c:v>
                </c:pt>
              </c:strCache>
            </c:strRef>
          </c:tx>
          <c:spPr>
            <a:solidFill>
              <a:schemeClr val="accent1"/>
            </a:solidFill>
            <a:ln>
              <a:noFill/>
            </a:ln>
            <a:effectLst/>
          </c:spPr>
          <c:invertIfNegative val="0"/>
          <c:cat>
            <c:strRef>
              <c:f>'YearlyYoY%'!$A$4:$A$16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'YearlyYoY%'!$B$4:$B$16</c:f>
              <c:numCache>
                <c:formatCode>0%</c:formatCode>
                <c:ptCount val="12"/>
                <c:pt idx="1">
                  <c:v>1.2135872625989963</c:v>
                </c:pt>
                <c:pt idx="2">
                  <c:v>-1.1095752864938562</c:v>
                </c:pt>
                <c:pt idx="3">
                  <c:v>-3.4318238726194976</c:v>
                </c:pt>
                <c:pt idx="4">
                  <c:v>-0.54042909309453657</c:v>
                </c:pt>
                <c:pt idx="5">
                  <c:v>3.823851918838526</c:v>
                </c:pt>
                <c:pt idx="6">
                  <c:v>2.8574418360704907</c:v>
                </c:pt>
                <c:pt idx="7">
                  <c:v>-3.9338444694886845</c:v>
                </c:pt>
                <c:pt idx="8">
                  <c:v>-2.8156793397914566</c:v>
                </c:pt>
                <c:pt idx="9">
                  <c:v>5.8876806855420938</c:v>
                </c:pt>
                <c:pt idx="10">
                  <c:v>3.129966642200535</c:v>
                </c:pt>
                <c:pt idx="11">
                  <c:v>2.0988887616923617</c:v>
                </c:pt>
              </c:numCache>
            </c:numRef>
          </c:val>
          <c:extLst>
            <c:ext xmlns:c16="http://schemas.microsoft.com/office/drawing/2014/chart" uri="{C3380CC4-5D6E-409C-BE32-E72D297353CC}">
              <c16:uniqueId val="{00000000-D16B-4C65-BB73-4133B1A1A86B}"/>
            </c:ext>
          </c:extLst>
        </c:ser>
        <c:dLbls>
          <c:showLegendKey val="0"/>
          <c:showVal val="0"/>
          <c:showCatName val="0"/>
          <c:showSerName val="0"/>
          <c:showPercent val="0"/>
          <c:showBubbleSize val="0"/>
        </c:dLbls>
        <c:gapWidth val="219"/>
        <c:overlap val="-27"/>
        <c:axId val="377626432"/>
        <c:axId val="377624992"/>
      </c:barChart>
      <c:catAx>
        <c:axId val="3776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7624992"/>
        <c:crosses val="autoZero"/>
        <c:auto val="1"/>
        <c:lblAlgn val="ctr"/>
        <c:lblOffset val="100"/>
        <c:noMultiLvlLbl val="0"/>
      </c:catAx>
      <c:valAx>
        <c:axId val="377624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762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16</xdr:col>
      <xdr:colOff>249836</xdr:colOff>
      <xdr:row>4</xdr:row>
      <xdr:rowOff>10410</xdr:rowOff>
    </xdr:from>
    <xdr:to>
      <xdr:col>23</xdr:col>
      <xdr:colOff>249836</xdr:colOff>
      <xdr:row>19</xdr:row>
      <xdr:rowOff>0</xdr:rowOff>
    </xdr:to>
    <xdr:graphicFrame macro="">
      <xdr:nvGraphicFramePr>
        <xdr:cNvPr id="2" name="Chart 1">
          <a:extLst>
            <a:ext uri="{FF2B5EF4-FFF2-40B4-BE49-F238E27FC236}">
              <a16:creationId xmlns:a16="http://schemas.microsoft.com/office/drawing/2014/main" id="{776744DC-882B-4FEC-B42D-82DC2F5F5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253293</xdr:colOff>
      <xdr:row>20</xdr:row>
      <xdr:rowOff>1252</xdr:rowOff>
    </xdr:from>
    <xdr:to>
      <xdr:col>21</xdr:col>
      <xdr:colOff>577272</xdr:colOff>
      <xdr:row>33</xdr:row>
      <xdr:rowOff>0</xdr:rowOff>
    </xdr:to>
    <xdr:graphicFrame macro="">
      <xdr:nvGraphicFramePr>
        <xdr:cNvPr id="4" name="Chart 3">
          <a:extLst>
            <a:ext uri="{FF2B5EF4-FFF2-40B4-BE49-F238E27FC236}">
              <a16:creationId xmlns:a16="http://schemas.microsoft.com/office/drawing/2014/main" id="{66D84F33-55C3-4984-8E59-D888DADD8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xdr:colOff>
      <xdr:row>19</xdr:row>
      <xdr:rowOff>176619</xdr:rowOff>
    </xdr:from>
    <xdr:to>
      <xdr:col>28</xdr:col>
      <xdr:colOff>1</xdr:colOff>
      <xdr:row>33</xdr:row>
      <xdr:rowOff>1</xdr:rowOff>
    </xdr:to>
    <xdr:graphicFrame macro="">
      <xdr:nvGraphicFramePr>
        <xdr:cNvPr id="5" name="Chart 4">
          <a:extLst>
            <a:ext uri="{FF2B5EF4-FFF2-40B4-BE49-F238E27FC236}">
              <a16:creationId xmlns:a16="http://schemas.microsoft.com/office/drawing/2014/main" id="{A01133F6-AC7B-4FC5-B70C-5F0830882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0</xdr:rowOff>
    </xdr:from>
    <xdr:to>
      <xdr:col>13</xdr:col>
      <xdr:colOff>0</xdr:colOff>
      <xdr:row>33</xdr:row>
      <xdr:rowOff>0</xdr:rowOff>
    </xdr:to>
    <xdr:graphicFrame macro="">
      <xdr:nvGraphicFramePr>
        <xdr:cNvPr id="6" name="Chart 5">
          <a:extLst>
            <a:ext uri="{FF2B5EF4-FFF2-40B4-BE49-F238E27FC236}">
              <a16:creationId xmlns:a16="http://schemas.microsoft.com/office/drawing/2014/main" id="{A1F21B81-C852-4FCC-BC09-664BCB6A2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-1</xdr:rowOff>
    </xdr:from>
    <xdr:to>
      <xdr:col>16</xdr:col>
      <xdr:colOff>0</xdr:colOff>
      <xdr:row>11</xdr:row>
      <xdr:rowOff>179916</xdr:rowOff>
    </xdr:to>
    <mc:AlternateContent xmlns:mc="http://schemas.openxmlformats.org/markup-compatibility/2006">
      <mc:Choice xmlns:tsle="http://schemas.microsoft.com/office/drawing/2012/timeslicer" Requires="tsle">
        <xdr:graphicFrame macro="">
          <xdr:nvGraphicFramePr>
            <xdr:cNvPr id="7" name="Observation Date 1">
              <a:extLst>
                <a:ext uri="{FF2B5EF4-FFF2-40B4-BE49-F238E27FC236}">
                  <a16:creationId xmlns:a16="http://schemas.microsoft.com/office/drawing/2014/main" id="{C1BB5C20-1687-4C2D-98BB-FC207D6DFEA5}"/>
                </a:ext>
              </a:extLst>
            </xdr:cNvPr>
            <xdr:cNvGraphicFramePr/>
          </xdr:nvGraphicFramePr>
          <xdr:xfrm>
            <a:off x="0" y="0"/>
            <a:ext cx="0" cy="0"/>
          </xdr:xfrm>
          <a:graphic>
            <a:graphicData uri="http://schemas.microsoft.com/office/drawing/2012/timeslicer">
              <tsle:timeslicer xmlns:tsle="http://schemas.microsoft.com/office/drawing/2012/timeslicer" name="Observation Date 1"/>
            </a:graphicData>
          </a:graphic>
        </xdr:graphicFrame>
      </mc:Choice>
      <mc:Fallback>
        <xdr:sp macro="" textlink="">
          <xdr:nvSpPr>
            <xdr:cNvPr id="0" name=""/>
            <xdr:cNvSpPr>
              <a:spLocks noTextEdit="1"/>
            </xdr:cNvSpPr>
          </xdr:nvSpPr>
          <xdr:spPr>
            <a:xfrm>
              <a:off x="0" y="757543"/>
              <a:ext cx="9803509" cy="1505619"/>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xdr:from>
      <xdr:col>0</xdr:col>
      <xdr:colOff>0</xdr:colOff>
      <xdr:row>0</xdr:row>
      <xdr:rowOff>0</xdr:rowOff>
    </xdr:from>
    <xdr:to>
      <xdr:col>28</xdr:col>
      <xdr:colOff>0</xdr:colOff>
      <xdr:row>3</xdr:row>
      <xdr:rowOff>0</xdr:rowOff>
    </xdr:to>
    <xdr:sp macro="" textlink="">
      <xdr:nvSpPr>
        <xdr:cNvPr id="8" name="Rectangle 7">
          <a:extLst>
            <a:ext uri="{FF2B5EF4-FFF2-40B4-BE49-F238E27FC236}">
              <a16:creationId xmlns:a16="http://schemas.microsoft.com/office/drawing/2014/main" id="{E74CA47D-8756-D706-3652-E4483B6391A6}"/>
            </a:ext>
          </a:extLst>
        </xdr:cNvPr>
        <xdr:cNvSpPr/>
      </xdr:nvSpPr>
      <xdr:spPr>
        <a:xfrm>
          <a:off x="0" y="0"/>
          <a:ext cx="17197049" cy="5621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latin typeface="Times New Roman" panose="02020603050405020304" pitchFamily="18" charset="0"/>
              <a:cs typeface="Times New Roman" panose="02020603050405020304" pitchFamily="18" charset="0"/>
            </a:rPr>
            <a:t>SBP</a:t>
          </a:r>
          <a:r>
            <a:rPr lang="en-US" sz="2800" baseline="0">
              <a:latin typeface="Times New Roman" panose="02020603050405020304" pitchFamily="18" charset="0"/>
              <a:cs typeface="Times New Roman" panose="02020603050405020304" pitchFamily="18" charset="0"/>
            </a:rPr>
            <a:t> &amp; Bank Reserves Over The Years Dashboard</a:t>
          </a:r>
          <a:endParaRPr lang="en-PK" sz="2800">
            <a:latin typeface="Times New Roman" panose="02020603050405020304" pitchFamily="18" charset="0"/>
            <a:cs typeface="Times New Roman" panose="02020603050405020304" pitchFamily="18" charset="0"/>
          </a:endParaRPr>
        </a:p>
      </xdr:txBody>
    </xdr:sp>
    <xdr:clientData/>
  </xdr:twoCellAnchor>
  <xdr:twoCellAnchor editAs="oneCell">
    <xdr:from>
      <xdr:col>23</xdr:col>
      <xdr:colOff>607829</xdr:colOff>
      <xdr:row>4</xdr:row>
      <xdr:rowOff>0</xdr:rowOff>
    </xdr:from>
    <xdr:to>
      <xdr:col>27</xdr:col>
      <xdr:colOff>607829</xdr:colOff>
      <xdr:row>19</xdr:row>
      <xdr:rowOff>0</xdr:rowOff>
    </xdr:to>
    <mc:AlternateContent xmlns:mc="http://schemas.openxmlformats.org/markup-compatibility/2006">
      <mc:Choice xmlns:a14="http://schemas.microsoft.com/office/drawing/2010/main" Requires="a14">
        <xdr:graphicFrame macro="">
          <xdr:nvGraphicFramePr>
            <xdr:cNvPr id="9" name="Years (Observation Date) 1">
              <a:extLst>
                <a:ext uri="{FF2B5EF4-FFF2-40B4-BE49-F238E27FC236}">
                  <a16:creationId xmlns:a16="http://schemas.microsoft.com/office/drawing/2014/main" id="{DF670F8C-20AF-4280-994B-030C19FF3819}"/>
                </a:ext>
              </a:extLst>
            </xdr:cNvPr>
            <xdr:cNvGraphicFramePr/>
          </xdr:nvGraphicFramePr>
          <xdr:xfrm>
            <a:off x="0" y="0"/>
            <a:ext cx="0" cy="0"/>
          </xdr:xfrm>
          <a:graphic>
            <a:graphicData uri="http://schemas.microsoft.com/office/drawing/2010/slicer">
              <sle:slicer xmlns:sle="http://schemas.microsoft.com/office/drawing/2010/slicer" name="Years (Observation Date) 1"/>
            </a:graphicData>
          </a:graphic>
        </xdr:graphicFrame>
      </mc:Choice>
      <mc:Fallback>
        <xdr:sp macro="" textlink="">
          <xdr:nvSpPr>
            <xdr:cNvPr id="0" name=""/>
            <xdr:cNvSpPr>
              <a:spLocks noTextEdit="1"/>
            </xdr:cNvSpPr>
          </xdr:nvSpPr>
          <xdr:spPr>
            <a:xfrm>
              <a:off x="14700373" y="757544"/>
              <a:ext cx="2450877" cy="284078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12212</xdr:colOff>
      <xdr:row>13</xdr:row>
      <xdr:rowOff>24422</xdr:rowOff>
    </xdr:from>
    <xdr:to>
      <xdr:col>16</xdr:col>
      <xdr:colOff>9281</xdr:colOff>
      <xdr:row>33</xdr:row>
      <xdr:rowOff>-1</xdr:rowOff>
    </xdr:to>
    <mc:AlternateContent xmlns:mc="http://schemas.openxmlformats.org/markup-compatibility/2006">
      <mc:Choice xmlns:a14="http://schemas.microsoft.com/office/drawing/2010/main" Requires="a14">
        <xdr:graphicFrame macro="">
          <xdr:nvGraphicFramePr>
            <xdr:cNvPr id="10" name="Years (Observation Date) 3">
              <a:extLst>
                <a:ext uri="{FF2B5EF4-FFF2-40B4-BE49-F238E27FC236}">
                  <a16:creationId xmlns:a16="http://schemas.microsoft.com/office/drawing/2014/main" id="{B5685E31-D17B-4CA8-A012-796F914C8DA3}"/>
                </a:ext>
              </a:extLst>
            </xdr:cNvPr>
            <xdr:cNvGraphicFramePr/>
          </xdr:nvGraphicFramePr>
          <xdr:xfrm>
            <a:off x="0" y="0"/>
            <a:ext cx="0" cy="0"/>
          </xdr:xfrm>
          <a:graphic>
            <a:graphicData uri="http://schemas.microsoft.com/office/drawing/2010/slicer">
              <sle:slicer xmlns:sle="http://schemas.microsoft.com/office/drawing/2010/slicer" name="Years (Observation Date) 3"/>
            </a:graphicData>
          </a:graphic>
        </xdr:graphicFrame>
      </mc:Choice>
      <mc:Fallback>
        <xdr:sp macro="" textlink="">
          <xdr:nvSpPr>
            <xdr:cNvPr id="0" name=""/>
            <xdr:cNvSpPr>
              <a:spLocks noTextEdit="1"/>
            </xdr:cNvSpPr>
          </xdr:nvSpPr>
          <xdr:spPr>
            <a:xfrm>
              <a:off x="7977563" y="2486440"/>
              <a:ext cx="1835227" cy="376329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1</xdr:row>
      <xdr:rowOff>133350</xdr:rowOff>
    </xdr:from>
    <xdr:to>
      <xdr:col>13</xdr:col>
      <xdr:colOff>412750</xdr:colOff>
      <xdr:row>16</xdr:row>
      <xdr:rowOff>114300</xdr:rowOff>
    </xdr:to>
    <xdr:graphicFrame macro="">
      <xdr:nvGraphicFramePr>
        <xdr:cNvPr id="2" name="Chart 1">
          <a:extLst>
            <a:ext uri="{FF2B5EF4-FFF2-40B4-BE49-F238E27FC236}">
              <a16:creationId xmlns:a16="http://schemas.microsoft.com/office/drawing/2014/main" id="{903A68FB-064F-731F-BBAE-00DBF6E4B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374650</xdr:colOff>
      <xdr:row>17</xdr:row>
      <xdr:rowOff>12700</xdr:rowOff>
    </xdr:from>
    <xdr:to>
      <xdr:col>10</xdr:col>
      <xdr:colOff>336550</xdr:colOff>
      <xdr:row>24</xdr:row>
      <xdr:rowOff>95250</xdr:rowOff>
    </xdr:to>
    <mc:AlternateContent xmlns:mc="http://schemas.openxmlformats.org/markup-compatibility/2006">
      <mc:Choice xmlns:tsle="http://schemas.microsoft.com/office/drawing/2012/timeslicer" Requires="tsle">
        <xdr:graphicFrame macro="">
          <xdr:nvGraphicFramePr>
            <xdr:cNvPr id="3" name="Observation Date">
              <a:extLst>
                <a:ext uri="{FF2B5EF4-FFF2-40B4-BE49-F238E27FC236}">
                  <a16:creationId xmlns:a16="http://schemas.microsoft.com/office/drawing/2014/main" id="{8DB3D742-A039-73DE-B940-18E28EF707E6}"/>
                </a:ext>
              </a:extLst>
            </xdr:cNvPr>
            <xdr:cNvGraphicFramePr/>
          </xdr:nvGraphicFramePr>
          <xdr:xfrm>
            <a:off x="0" y="0"/>
            <a:ext cx="0" cy="0"/>
          </xdr:xfrm>
          <a:graphic>
            <a:graphicData uri="http://schemas.microsoft.com/office/drawing/2012/timeslicer">
              <tsle:timeslicer xmlns:tsle="http://schemas.microsoft.com/office/drawing/2012/timeslicer" name="Observation Date"/>
            </a:graphicData>
          </a:graphic>
        </xdr:graphicFrame>
      </mc:Choice>
      <mc:Fallback>
        <xdr:sp macro="" textlink="">
          <xdr:nvSpPr>
            <xdr:cNvPr id="0" name=""/>
            <xdr:cNvSpPr>
              <a:spLocks noTextEdit="1"/>
            </xdr:cNvSpPr>
          </xdr:nvSpPr>
          <xdr:spPr>
            <a:xfrm>
              <a:off x="5909733" y="3071283"/>
              <a:ext cx="3316817" cy="1341967"/>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155575</xdr:colOff>
      <xdr:row>1</xdr:row>
      <xdr:rowOff>63500</xdr:rowOff>
    </xdr:from>
    <xdr:to>
      <xdr:col>16</xdr:col>
      <xdr:colOff>79375</xdr:colOff>
      <xdr:row>16</xdr:row>
      <xdr:rowOff>44450</xdr:rowOff>
    </xdr:to>
    <xdr:graphicFrame macro="">
      <xdr:nvGraphicFramePr>
        <xdr:cNvPr id="2" name="Chart 1">
          <a:extLst>
            <a:ext uri="{FF2B5EF4-FFF2-40B4-BE49-F238E27FC236}">
              <a16:creationId xmlns:a16="http://schemas.microsoft.com/office/drawing/2014/main" id="{EADE8D34-4FEF-4423-9A23-81AC2DF1C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1136650</xdr:colOff>
      <xdr:row>9</xdr:row>
      <xdr:rowOff>120650</xdr:rowOff>
    </xdr:from>
    <xdr:to>
      <xdr:col>4</xdr:col>
      <xdr:colOff>1250950</xdr:colOff>
      <xdr:row>23</xdr:row>
      <xdr:rowOff>161922</xdr:rowOff>
    </xdr:to>
    <mc:AlternateContent xmlns:mc="http://schemas.openxmlformats.org/markup-compatibility/2006">
      <mc:Choice xmlns:a14="http://schemas.microsoft.com/office/drawing/2010/main" Requires="a14">
        <xdr:graphicFrame macro="">
          <xdr:nvGraphicFramePr>
            <xdr:cNvPr id="6" name="Years (Observation Date)">
              <a:extLst>
                <a:ext uri="{FF2B5EF4-FFF2-40B4-BE49-F238E27FC236}">
                  <a16:creationId xmlns:a16="http://schemas.microsoft.com/office/drawing/2014/main" id="{E84CD5FF-65B4-33A4-DFD4-007067D5654A}"/>
                </a:ext>
              </a:extLst>
            </xdr:cNvPr>
            <xdr:cNvGraphicFramePr/>
          </xdr:nvGraphicFramePr>
          <xdr:xfrm>
            <a:off x="0" y="0"/>
            <a:ext cx="0" cy="0"/>
          </xdr:xfrm>
          <a:graphic>
            <a:graphicData uri="http://schemas.microsoft.com/office/drawing/2010/slicer">
              <sle:slicer xmlns:sle="http://schemas.microsoft.com/office/drawing/2010/slicer" name="Years (Observation Date)"/>
            </a:graphicData>
          </a:graphic>
        </xdr:graphicFrame>
      </mc:Choice>
      <mc:Fallback>
        <xdr:sp macro="" textlink="">
          <xdr:nvSpPr>
            <xdr:cNvPr id="0" name=""/>
            <xdr:cNvSpPr>
              <a:spLocks noTextEdit="1"/>
            </xdr:cNvSpPr>
          </xdr:nvSpPr>
          <xdr:spPr>
            <a:xfrm>
              <a:off x="3292697" y="1715534"/>
              <a:ext cx="3436974" cy="252220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263525</xdr:colOff>
      <xdr:row>1</xdr:row>
      <xdr:rowOff>158750</xdr:rowOff>
    </xdr:from>
    <xdr:to>
      <xdr:col>6</xdr:col>
      <xdr:colOff>466725</xdr:colOff>
      <xdr:row>16</xdr:row>
      <xdr:rowOff>139700</xdr:rowOff>
    </xdr:to>
    <xdr:graphicFrame macro="">
      <xdr:nvGraphicFramePr>
        <xdr:cNvPr id="2" name="Chart 1">
          <a:extLst>
            <a:ext uri="{FF2B5EF4-FFF2-40B4-BE49-F238E27FC236}">
              <a16:creationId xmlns:a16="http://schemas.microsoft.com/office/drawing/2014/main" id="{BD6C26D0-15A0-1916-6D5E-E886E6113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542925</xdr:colOff>
      <xdr:row>1</xdr:row>
      <xdr:rowOff>82550</xdr:rowOff>
    </xdr:from>
    <xdr:to>
      <xdr:col>6</xdr:col>
      <xdr:colOff>1019175</xdr:colOff>
      <xdr:row>16</xdr:row>
      <xdr:rowOff>63500</xdr:rowOff>
    </xdr:to>
    <xdr:graphicFrame macro="">
      <xdr:nvGraphicFramePr>
        <xdr:cNvPr id="2" name="Chart 1">
          <a:extLst>
            <a:ext uri="{FF2B5EF4-FFF2-40B4-BE49-F238E27FC236}">
              <a16:creationId xmlns:a16="http://schemas.microsoft.com/office/drawing/2014/main" id="{D7487A0B-09E2-B087-CCEF-8DAAD4268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76200</xdr:colOff>
      <xdr:row>1</xdr:row>
      <xdr:rowOff>69850</xdr:rowOff>
    </xdr:from>
    <xdr:to>
      <xdr:col>8</xdr:col>
      <xdr:colOff>812800</xdr:colOff>
      <xdr:row>15</xdr:row>
      <xdr:rowOff>111122</xdr:rowOff>
    </xdr:to>
    <mc:AlternateContent xmlns:mc="http://schemas.openxmlformats.org/markup-compatibility/2006">
      <mc:Choice xmlns:a14="http://schemas.microsoft.com/office/drawing/2010/main" Requires="a14">
        <xdr:graphicFrame macro="">
          <xdr:nvGraphicFramePr>
            <xdr:cNvPr id="3" name="Years (Observation Date) 2">
              <a:extLst>
                <a:ext uri="{FF2B5EF4-FFF2-40B4-BE49-F238E27FC236}">
                  <a16:creationId xmlns:a16="http://schemas.microsoft.com/office/drawing/2014/main" id="{D11637A1-DDA8-75B6-A140-6AC8F4483612}"/>
                </a:ext>
              </a:extLst>
            </xdr:cNvPr>
            <xdr:cNvGraphicFramePr/>
          </xdr:nvGraphicFramePr>
          <xdr:xfrm>
            <a:off x="0" y="0"/>
            <a:ext cx="0" cy="0"/>
          </xdr:xfrm>
          <a:graphic>
            <a:graphicData uri="http://schemas.microsoft.com/office/drawing/2010/slicer">
              <sle:slicer xmlns:sle="http://schemas.microsoft.com/office/drawing/2010/slicer" name="Years (Observation Date) 2"/>
            </a:graphicData>
          </a:graphic>
        </xdr:graphicFrame>
      </mc:Choice>
      <mc:Fallback>
        <xdr:sp macro="" textlink="">
          <xdr:nvSpPr>
            <xdr:cNvPr id="0" name=""/>
            <xdr:cNvSpPr>
              <a:spLocks noTextEdit="1"/>
            </xdr:cNvSpPr>
          </xdr:nvSpPr>
          <xdr:spPr>
            <a:xfrm>
              <a:off x="6965515" y="252521"/>
              <a:ext cx="1832627" cy="259866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yya" refreshedDate="46203.548384606482" createdVersion="8" refreshedVersion="8" minRefreshableVersion="3" recordCount="131" xr:uid="{B7858262-9289-45F9-8B74-E3F9D94F02C9}">
  <cacheSource type="worksheet">
    <worksheetSource name="Gold_ForeignExchangeRateDataset"/>
  </cacheSource>
  <cacheFields count="11">
    <cacheField name="Observation Date" numFmtId="14">
      <sharedItems containsSemiMixedTypes="0" containsNonDate="0" containsDate="1" containsString="0" minDate="2015-07-31T00:00:00" maxDate="2026-06-01T00:00:00" count="131">
        <d v="2015-07-31T00:00:00"/>
        <d v="2015-08-31T00:00:00"/>
        <d v="2015-09-30T00:00:00"/>
        <d v="2015-10-31T00:00:00"/>
        <d v="2015-11-30T00:00:00"/>
        <d v="2015-12-31T00:00:00"/>
        <d v="2016-01-31T00:00:00"/>
        <d v="2016-02-29T00:00:00"/>
        <d v="2016-03-31T00:00:00"/>
        <d v="2016-04-30T00:00:00"/>
        <d v="2016-05-31T00:00:00"/>
        <d v="2016-06-30T00:00:00"/>
        <d v="2016-07-31T00:00:00"/>
        <d v="2016-08-31T00:00:00"/>
        <d v="2016-09-30T00:00:00"/>
        <d v="2016-10-31T00:00:00"/>
        <d v="2016-11-30T00:00:00"/>
        <d v="2016-12-31T00:00:00"/>
        <d v="2017-01-31T00:00:00"/>
        <d v="2017-02-28T00:00:00"/>
        <d v="2017-03-31T00:00:00"/>
        <d v="2017-04-30T00:00:00"/>
        <d v="2017-05-31T00:00:00"/>
        <d v="2017-06-30T00:00:00"/>
        <d v="2017-07-31T00:00:00"/>
        <d v="2017-08-31T00:00:00"/>
        <d v="2017-09-30T00:00:00"/>
        <d v="2017-10-31T00:00:00"/>
        <d v="2017-11-30T00:00:00"/>
        <d v="2017-12-31T00:00:00"/>
        <d v="2018-01-31T00:00:00"/>
        <d v="2018-02-28T00:00:00"/>
        <d v="2018-03-31T00:00:00"/>
        <d v="2018-04-30T00:00:00"/>
        <d v="2018-05-31T00:00:00"/>
        <d v="2018-06-30T00:00:00"/>
        <d v="2018-07-31T00:00:00"/>
        <d v="2018-08-31T00:00:00"/>
        <d v="2018-09-30T00:00:00"/>
        <d v="2018-10-31T00:00:00"/>
        <d v="2018-11-30T00:00:00"/>
        <d v="2018-12-31T00:00:00"/>
        <d v="2019-01-31T00:00:00"/>
        <d v="2019-02-28T00:00:00"/>
        <d v="2019-03-31T00:00:00"/>
        <d v="2019-04-30T00:00:00"/>
        <d v="2019-05-31T00:00:00"/>
        <d v="2019-06-30T00:00:00"/>
        <d v="2019-07-31T00:00:00"/>
        <d v="2019-08-31T00:00:00"/>
        <d v="2019-09-30T00:00:00"/>
        <d v="2019-10-31T00:00:00"/>
        <d v="2019-11-30T00:00:00"/>
        <d v="2019-12-31T00:00:00"/>
        <d v="2020-01-31T00:00:00"/>
        <d v="2020-02-29T00:00:00"/>
        <d v="2020-03-31T00:00:00"/>
        <d v="2020-04-30T00:00:00"/>
        <d v="2020-05-31T00:00:00"/>
        <d v="2020-06-30T00:00:00"/>
        <d v="2020-07-31T00:00:00"/>
        <d v="2020-08-31T00:00:00"/>
        <d v="2020-09-30T00:00:00"/>
        <d v="2020-10-31T00:00:00"/>
        <d v="2020-11-30T00:00:00"/>
        <d v="2020-12-31T00:00:00"/>
        <d v="2021-01-31T00:00:00"/>
        <d v="2021-02-28T00:00:00"/>
        <d v="2021-03-31T00:00:00"/>
        <d v="2021-04-30T00:00:00"/>
        <d v="2021-05-31T00:00:00"/>
        <d v="2021-06-30T00:00:00"/>
        <d v="2021-07-31T00:00:00"/>
        <d v="2021-08-31T00:00:00"/>
        <d v="2021-09-30T00:00:00"/>
        <d v="2021-10-31T00:00:00"/>
        <d v="2021-11-30T00:00:00"/>
        <d v="2021-12-31T00:00:00"/>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d v="2023-05-31T00:00:00"/>
        <d v="2023-06-30T00:00:00"/>
        <d v="2023-07-31T00:00:00"/>
        <d v="2023-08-31T00:00:00"/>
        <d v="2023-09-30T00:00:00"/>
        <d v="2023-10-31T00:00:00"/>
        <d v="2023-11-30T00:00:00"/>
        <d v="2023-12-31T00:00:00"/>
        <d v="2024-01-31T00:00:00"/>
        <d v="2024-02-29T00:00:00"/>
        <d v="2024-03-31T00:00:00"/>
        <d v="2024-04-30T00:00:00"/>
        <d v="2024-05-31T00:00:00"/>
        <d v="2024-06-30T00:00:00"/>
        <d v="2024-07-31T00:00:00"/>
        <d v="2024-08-31T00:00:00"/>
        <d v="2024-09-30T00:00:00"/>
        <d v="2024-10-31T00:00:00"/>
        <d v="2024-11-30T00:00:00"/>
        <d v="2024-12-31T00:00:00"/>
        <d v="2025-01-31T00:00:00"/>
        <d v="2025-02-28T00:00:00"/>
        <d v="2025-03-31T00:00:00"/>
        <d v="2025-04-30T00:00:00"/>
        <d v="2025-05-31T00:00:00"/>
        <d v="2025-06-30T00:00:00"/>
        <d v="2025-07-31T00:00:00"/>
        <d v="2025-08-31T00:00:00"/>
        <d v="2025-09-30T00:00:00"/>
        <d v="2025-10-31T00:00:00"/>
        <d v="2025-11-30T00:00:00"/>
        <d v="2025-12-31T00:00:00"/>
        <d v="2026-01-31T00:00:00"/>
        <d v="2026-02-28T00:00:00"/>
        <d v="2026-03-31T00:00:00"/>
        <d v="2026-04-30T00:00:00"/>
        <d v="2026-05-31T00:00:00"/>
      </sharedItems>
      <fieldGroup par="10"/>
    </cacheField>
    <cacheField name="Unit" numFmtId="0">
      <sharedItems/>
    </cacheField>
    <cacheField name="Gold reserves" numFmtId="1">
      <sharedItems containsSemiMixedTypes="0" containsString="0" containsNumber="1" minValue="2202.1" maxValue="10880.61" count="130">
        <n v="2277.8000000000002"/>
        <n v="2353.6999999999998"/>
        <n v="2310.1"/>
        <n v="2368.9"/>
        <n v="2202.1"/>
        <n v="2202.8000000000002"/>
        <n v="2305.6"/>
        <n v="2560.8000000000002"/>
        <n v="2565.1999999999998"/>
        <n v="2666.1"/>
        <n v="2513.5"/>
        <n v="2739.3"/>
        <n v="2783.3"/>
        <n v="2715.4"/>
        <n v="2742.9"/>
        <n v="2638.2"/>
        <n v="2444"/>
        <n v="2404.6"/>
        <n v="2516"/>
        <n v="2604.8000000000002"/>
        <n v="2582.5"/>
        <n v="2627.3"/>
        <n v="2626.7"/>
        <n v="2578.5"/>
        <n v="2631"/>
        <n v="2722.7"/>
        <n v="2663.2"/>
        <n v="2636.4"/>
        <n v="2657.2"/>
        <n v="2691.1"/>
        <n v="2792.5"/>
        <n v="2736"/>
        <n v="2748.5"/>
        <n v="2726.4"/>
        <n v="2711.5"/>
        <n v="2597.6999999999998"/>
        <n v="2536.4"/>
        <n v="2498"/>
        <n v="2466.4"/>
        <n v="2523.9"/>
        <n v="2529.3000000000002"/>
        <n v="2662.5"/>
        <n v="2748.9"/>
        <n v="2740.4"/>
        <n v="2663.8"/>
        <n v="2691.4"/>
        <n v="2928"/>
        <n v="2966.5"/>
        <n v="3176.1"/>
        <n v="3086.5"/>
        <n v="3139.8"/>
        <n v="3034.2"/>
        <n v="3164.8"/>
        <n v="3292"/>
        <n v="3345.3"/>
        <n v="3343.5"/>
        <n v="3538.4"/>
        <n v="3592.3"/>
        <n v="3674.5"/>
        <n v="4083.4"/>
        <n v="4067.8"/>
        <n v="3921.3"/>
        <n v="3910.9"/>
        <n v="3662.9"/>
        <n v="3922.8"/>
        <n v="3873.3"/>
        <n v="3622"/>
        <n v="3514.3"/>
        <n v="3674.1"/>
        <n v="3949.1"/>
        <n v="3664.7"/>
        <n v="3794.9"/>
        <n v="3772.2"/>
        <n v="3622.4"/>
        <n v="3677.2"/>
        <n v="3750.5"/>
        <n v="3783.1"/>
        <n v="3731.46"/>
        <n v="3969.66"/>
        <n v="4036.79"/>
        <n v="3972.67"/>
        <n v="3821.77"/>
        <n v="3776.67"/>
        <n v="3644.47"/>
        <n v="3566.53"/>
        <n v="3475.03"/>
        <n v="3406.95"/>
        <n v="3644.96"/>
        <n v="3767.29"/>
        <n v="3999.17"/>
        <n v="3792.75"/>
        <n v="4115.16"/>
        <n v="4121.08"/>
        <n v="4083.35"/>
        <n v="3975.56"/>
        <n v="4096.9777990000002"/>
        <n v="4038.0382"/>
        <n v="3888.7661290000001"/>
        <n v="4151.5515020000003"/>
        <n v="4231.6968820000002"/>
        <n v="4320.9898549999998"/>
        <n v="4269.3625249999996"/>
        <n v="4258.550064"/>
        <n v="4604.7"/>
        <n v="4797.3599359999998"/>
        <n v="4883.1384779999998"/>
        <n v="4848.1813579999998"/>
        <n v="5046.6099999999997"/>
        <n v="5229.6883820000003"/>
        <n v="5472.3054860000002"/>
        <n v="5690.4370399999998"/>
        <n v="5517.4855500000003"/>
        <n v="5434.2375110000003"/>
        <n v="5853.9176770000004"/>
        <n v="5900.7565119999999"/>
        <n v="6484.7847499999998"/>
        <n v="6874.492655"/>
        <n v="6823.4864399999997"/>
        <n v="6844.0971149999996"/>
        <n v="6867.830618"/>
        <n v="7139.1004030000004"/>
        <n v="7964.4533620000002"/>
        <n v="8352.1304629999995"/>
        <n v="8726.634333"/>
        <n v="9095.3651850000006"/>
        <n v="10374.84146"/>
        <n v="10880.61"/>
        <n v="9601.4532650000001"/>
        <n v="9607.7000000000007"/>
        <n v="9472.17"/>
      </sharedItems>
    </cacheField>
    <cacheField name="Total SBP Reserves" numFmtId="1">
      <sharedItems containsSemiMixedTypes="0" containsString="0" containsNumber="1" minValue="3203.81" maxValue="20308.3" count="131">
        <n v="13785.8"/>
        <n v="13508.8"/>
        <n v="15286.1"/>
        <n v="14884.2"/>
        <n v="14839.6"/>
        <n v="15944.5"/>
        <n v="15496.7"/>
        <n v="15550.2"/>
        <n v="16166.8"/>
        <n v="15955.6"/>
        <n v="16634.5"/>
        <n v="18191.7"/>
        <n v="18108.900000000001"/>
        <n v="18169.8"/>
        <n v="18552.8"/>
        <n v="19028"/>
        <n v="18476.5"/>
        <n v="18379.599999999999"/>
        <n v="17502.599999999999"/>
        <n v="17187.900000000001"/>
        <n v="16574.599999999999"/>
        <n v="16178.6"/>
        <n v="16529.8"/>
        <n v="16243.2"/>
        <n v="14688.3"/>
        <n v="14827.7"/>
        <n v="14038.2"/>
        <n v="13674.1"/>
        <n v="12845.4"/>
        <n v="14328.9"/>
        <n v="13022.8"/>
        <n v="12465"/>
        <n v="11823"/>
        <n v="11576.4"/>
        <n v="9651.2000000000007"/>
        <n v="9866.2999999999993"/>
        <n v="10363.1"/>
        <n v="10241.5"/>
        <n v="8876.6"/>
        <n v="8064.2"/>
        <n v="7987.5"/>
        <n v="7635.8"/>
        <n v="8599.6"/>
        <n v="8502.1"/>
        <n v="10878.9"/>
        <n v="9146.9"/>
        <n v="8221.7999999999993"/>
        <n v="7774.3"/>
        <n v="8413.9"/>
        <n v="8881.4"/>
        <n v="8526.1"/>
        <n v="8723.7000000000007"/>
        <n v="9555.7999999999993"/>
        <n v="11760.2"/>
        <n v="12656.6"/>
        <n v="13221.2"/>
        <n v="11397.3"/>
        <n v="12880.8"/>
        <n v="10870"/>
        <n v="12549.6"/>
        <n v="12797.8"/>
        <n v="12913"/>
        <n v="12305.7"/>
        <n v="12344.5"/>
        <n v="13272.5"/>
        <n v="13581.3"/>
        <n v="13196.2"/>
        <n v="13167.5"/>
        <n v="13668.9"/>
        <n v="15791.3"/>
        <n v="16299.5"/>
        <n v="17485.599999999999"/>
        <n v="18027"/>
        <n v="20308.3"/>
        <n v="19400.099999999999"/>
        <n v="17388"/>
        <n v="16141.5"/>
        <n v="17837.2"/>
        <n v="16714.18"/>
        <n v="16579.68"/>
        <n v="11643.94"/>
        <n v="10751.68"/>
        <n v="9619.09"/>
        <n v="10064.27"/>
        <n v="8605.7000000000007"/>
        <n v="9020.7999999999993"/>
        <n v="8045.29"/>
        <n v="8971.52"/>
        <n v="7853.27"/>
        <n v="5701.8"/>
        <n v="3203.81"/>
        <n v="3973.8"/>
        <n v="4298.76"/>
        <n v="4559.4799999999996"/>
        <n v="3765.37"/>
        <n v="4535.72"/>
        <n v="8225.1947249999994"/>
        <n v="7888.6933209999997"/>
        <n v="7692.9744309999996"/>
        <n v="7561.9341000000004"/>
        <n v="7089.9616980000001"/>
        <n v="8330.9886719999995"/>
        <n v="8256.2136350000001"/>
        <n v="8065.7634019999996"/>
        <n v="8137.9535059999998"/>
        <n v="9244.2225259999996"/>
        <n v="9202.7206019999994"/>
        <n v="9501.3087099999993"/>
        <n v="9316.36"/>
        <n v="9563.8494019999998"/>
        <n v="10836.62379"/>
        <n v="11328.27176"/>
        <n v="12138.333479999999"/>
        <n v="11859.86004"/>
        <n v="11514.822109999999"/>
        <n v="11364.75936"/>
        <n v="10733.52932"/>
        <n v="10387.60447"/>
        <n v="11615.379349999999"/>
        <n v="14639.12903"/>
        <n v="14428.770189999999"/>
        <n v="14465.855439999999"/>
        <n v="14278.489750000001"/>
        <n v="14635.627189999999"/>
        <n v="14679.29902"/>
        <n v="16186.91908"/>
        <n v="16255.663769999999"/>
        <n v="16437.71731"/>
        <n v="16493.640800000001"/>
        <n v="15976.87"/>
        <n v="17269.86"/>
      </sharedItems>
    </cacheField>
    <cacheField name="Total Banks Reserves" numFmtId="1">
      <sharedItems containsSemiMixedTypes="0" containsString="0" containsNumber="1" minValue="1763.28" maxValue="3744.1" count="131">
        <n v="2567"/>
        <n v="2526.6999999999998"/>
        <n v="2571.5"/>
        <n v="3023.6"/>
        <n v="2790"/>
        <n v="2894.5"/>
        <n v="2629.7"/>
        <n v="2597"/>
        <n v="2384.9"/>
        <n v="2591.6"/>
        <n v="2447.6"/>
        <n v="2608.1"/>
        <n v="2529.5"/>
        <n v="2464.1"/>
        <n v="2490.3000000000002"/>
        <n v="2395.9"/>
        <n v="2385.8000000000002"/>
        <n v="2468.6999999999998"/>
        <n v="2302"/>
        <n v="2248.1999999999998"/>
        <n v="2199.1999999999998"/>
        <n v="2219.4"/>
        <n v="2164.6999999999998"/>
        <n v="3039.2"/>
        <n v="2758.3"/>
        <n v="2629.1"/>
        <n v="2608.1999999999998"/>
        <n v="2827.2"/>
        <n v="2591.8000000000002"/>
        <n v="2840.4"/>
        <n v="2720.4"/>
        <n v="2768.8"/>
        <n v="2755.1"/>
        <n v="2730.9"/>
        <n v="2716.4"/>
        <n v="2938.1"/>
        <n v="2963.8"/>
        <n v="2647.5"/>
        <n v="2628.1"/>
        <n v="2611.3000000000002"/>
        <n v="2525.8000000000002"/>
        <n v="2466.1"/>
        <n v="2759.3"/>
        <n v="2942.9"/>
        <n v="2960.3"/>
        <n v="2783.6"/>
        <n v="2880.6"/>
        <n v="2878.2"/>
        <n v="3014.6"/>
        <n v="3103.3"/>
        <n v="2819"/>
        <n v="2915.2"/>
        <n v="2839.7"/>
        <n v="2697.1"/>
        <n v="3175.3"/>
        <n v="3056.7"/>
        <n v="2623.9"/>
        <n v="2224.1"/>
        <n v="2445.4"/>
        <n v="2672"/>
        <n v="3366.3"/>
        <n v="3464.8"/>
        <n v="3441.5"/>
        <n v="3542.7"/>
        <n v="3684.3"/>
        <n v="3744.1"/>
        <n v="3728.1"/>
        <n v="3713.5"/>
        <n v="3252.9"/>
        <n v="2888.2"/>
        <n v="2776.6"/>
        <n v="2567.6"/>
        <n v="2579.5"/>
        <n v="2731.3"/>
        <n v="2484.1"/>
        <n v="2284.8000000000002"/>
        <n v="2274.8000000000002"/>
        <n v="2297.6"/>
        <n v="2807.21"/>
        <n v="3084.47"/>
        <n v="2939.52"/>
        <n v="2771.55"/>
        <n v="2089.3200000000002"/>
        <n v="2580.09"/>
        <n v="2042.95"/>
        <n v="1865.09"/>
        <n v="2213.83"/>
        <n v="1869.44"/>
        <n v="2052.59"/>
        <n v="1763.28"/>
        <n v="2131.87"/>
        <n v="2103.12"/>
        <n v="3020.68"/>
        <n v="2985"/>
        <n v="3041.87"/>
        <n v="2903.07"/>
        <n v="2871.4565440000001"/>
        <n v="2937.3128449999999"/>
        <n v="2419.0610550000001"/>
        <n v="2316.3990530000001"/>
        <n v="2574.8562109999998"/>
        <n v="2593.1029159999998"/>
        <n v="2617.4080680000002"/>
        <n v="2933.719713"/>
        <n v="3127.0871090000001"/>
        <n v="2429.6416490000001"/>
        <n v="2559.5141359999998"/>
        <n v="2885.4440319999999"/>
        <n v="2526.0100000000002"/>
        <n v="2397.952859"/>
        <n v="2173.6413809999999"/>
        <n v="1991.7043590000001"/>
        <n v="1964.1804520000001"/>
        <n v="2275.7647259999999"/>
        <n v="2335.2361860000001"/>
        <n v="2043.056922"/>
        <n v="2541.6344199999999"/>
        <n v="2304.9335599999999"/>
        <n v="2376.0913089999999"/>
        <n v="2515.9145720000001"/>
        <n v="2382.5849189999999"/>
        <n v="2307.7711640000002"/>
        <n v="1934.6186660000001"/>
        <n v="2078.8436839999999"/>
        <n v="1999.7429669999999"/>
        <n v="2069.678813"/>
        <n v="2180.1859840000002"/>
        <n v="2196.8139120000001"/>
        <n v="2848.9473619999999"/>
        <n v="2782.45"/>
        <n v="2918.84"/>
      </sharedItems>
    </cacheField>
    <cacheField name="Total Reserves" numFmtId="1">
      <sharedItems containsSemiMixedTypes="0" containsString="0" containsNumber="1" minValue="5335.68" maxValue="23039.599999999999"/>
    </cacheField>
    <cacheField name="MoM%" numFmtId="9">
      <sharedItems containsMixedTypes="1" containsNumber="1" minValue="-1" maxValue="0.49172799191804023" count="131">
        <s v="-"/>
        <n v="0.11362913535592895"/>
        <n v="2.8111280351223416E-3"/>
        <n v="-1.553512994337667E-2"/>
        <n v="6.8600535463084894E-2"/>
        <n v="-3.7825786931365707E-2"/>
        <n v="1.1474975726012485E-3"/>
        <n v="2.2289940045847292E-2"/>
        <n v="-2.4256537136758356E-4"/>
        <n v="2.8839932712215202E-2"/>
        <n v="9.0016297996551781E-2"/>
        <n v="-7.7596899970190977E-3"/>
        <n v="-2.1804015815197098E-4"/>
        <n v="1.9831442432114179E-2"/>
        <n v="1.8096193051404162E-2"/>
        <n v="-2.6213714589780671E-2"/>
        <n v="-6.7106694851478505E-4"/>
        <n v="-5.0061635720898147E-2"/>
        <n v="-1.8606788321904828E-2"/>
        <n v="-3.4075766228821774E-2"/>
        <n v="-2.0017258093726325E-2"/>
        <n v="1.6115882161104468E-2"/>
        <n v="3.1447752012624113E-2"/>
        <n v="-9.5205990955482864E-2"/>
        <n v="5.8464113351602766E-4"/>
        <n v="-4.642317034049756E-2"/>
        <n v="-8.7165993848521105E-3"/>
        <n v="-6.4485828389278341E-2"/>
        <n v="0.11220299017956614"/>
        <n v="-8.306104500474687E-2"/>
        <n v="-3.235682707454645E-2"/>
        <n v="-4.3042445089209451E-2"/>
        <n v="-1.8575808918857812E-2"/>
        <n v="-0.13557414746318305"/>
        <n v="3.5318089200814973E-2"/>
        <n v="4.0806285339414716E-2"/>
        <n v="-3.2858354155880315E-2"/>
        <n v="-0.10740166033051433"/>
        <n v="-7.2074891131450686E-2"/>
        <n v="-1.5193667743899651E-2"/>
        <n v="-3.9131385958737948E-2"/>
        <n v="0.12443203753749313"/>
        <n v="7.5799593270473847E-3"/>
        <n v="0.20919178680646577"/>
        <n v="-0.13791982195502633"/>
        <n v="-6.941033485604127E-2"/>
        <n v="-4.0522769851563598E-2"/>
        <n v="7.2846749589298293E-2"/>
        <n v="4.8667804173776148E-2"/>
        <n v="-5.3368044256426973E-2"/>
        <n v="2.5896642603414784E-2"/>
        <n v="6.5006143192225932E-2"/>
        <n v="0.16633455689564769"/>
        <n v="9.5079994189786493E-2"/>
        <n v="2.8170971266872579E-2"/>
        <n v="-0.13863581911671669"/>
        <n v="7.729010355747018E-2"/>
        <n v="-0.11847148938423956"/>
        <n v="0.14315754690058133"/>
        <n v="6.1918589372996151E-2"/>
        <n v="1.3220655650484763E-2"/>
        <n v="-3.8503339886920014E-2"/>
        <n v="8.8904694167852051E-3"/>
        <n v="6.732463870285503E-2"/>
        <n v="2.1737591998490197E-2"/>
        <n v="-2.3150980641139518E-2"/>
        <n v="-2.5584514573719014E-3"/>
        <n v="2.4169184290029782E-3"/>
        <n v="0.10387192851824278"/>
        <n v="2.1231831687143581E-2"/>
        <n v="5.1221161558180059E-2"/>
        <n v="2.7591606327169879E-2"/>
        <n v="0.11807439400189254"/>
        <n v="-5.0148440077084737E-2"/>
        <n v="-0.10105007265515752"/>
        <n v="-6.3869911756333622E-2"/>
        <n v="9.3314075031358093E-2"/>
        <n v="-3.0465164789319977E-2"/>
        <n v="7.3130038383538284E-3"/>
        <n v="-0.25837323250687166"/>
        <n v="-7.2700854255437417E-2"/>
        <n v="-0.1342001873812691"/>
        <n v="7.9938266596403851E-2"/>
        <n v="-0.15783400662429725"/>
        <n v="2.2278880421461682E-2"/>
        <n v="-5.7576367205621266E-2"/>
        <n v="5.671441605127945E-2"/>
        <n v="-8.6256198713029128E-2"/>
        <n v="-0.24639758688291583"/>
        <n v="-0.28524811522448518"/>
        <n v="0.13892137459517806"/>
        <n v="0.20446541998249121"/>
        <n v="3.0745521515307052E-2"/>
        <n v="-9.7719127096897312E-2"/>
        <n v="9.2776220612171903E-2"/>
        <n v="0.49172799191804023"/>
        <n v="-2.4389799808892304E-2"/>
        <n v="-6.5949591109811551E-2"/>
        <n v="-2.3111304674865839E-2"/>
        <n v="-2.1614501221307428E-2"/>
        <n v="0.13029460987851085"/>
        <n v="-4.6200532642402276E-3"/>
        <n v="1.157493017853229E-2"/>
        <n v="2.414272536478191E-2"/>
        <n v="3.6291352510139076E-2"/>
        <n v="7.5699495621380578E-3"/>
        <n v="5.3095182838205281E-2"/>
        <n v="-4.3948785717999282E-2"/>
        <n v="1.0085165469411943E-2"/>
        <n v="8.7650914730331569E-2"/>
        <n v="2.3805121873330337E-2"/>
        <n v="5.8749190389595841E-2"/>
        <n v="2.3478674908356161E-3"/>
        <n v="-2.0201899436865667E-2"/>
        <n v="-3.1930696936324256E-2"/>
        <n v="-9.8936724079435601E-3"/>
        <n v="-4.3888401033010553E-2"/>
        <n v="0.10233828931060521"/>
        <n v="0.22610724920221578"/>
        <n v="-2.0034253539287592E-2"/>
        <n v="-2.2442274733582355E-3"/>
        <n v="-3.3416636797335968E-2"/>
        <n v="3.0923277951143861E-2"/>
        <n v="-2.1196535186231475E-3"/>
        <n v="9.4583124572117414E-2"/>
        <n v="9.8184701251885463E-3"/>
        <n v="1.0776908612899434E-2"/>
        <n v="3.7997035265586059E-2"/>
        <n v="-3.0154607910531612E-2"/>
        <n v="7.6195725644639625E-2"/>
        <n v="-1"/>
      </sharedItems>
    </cacheField>
    <cacheField name="YoY%" numFmtId="9">
      <sharedItems containsString="0" containsBlank="1" containsNumber="1" minValue="-0.72667520089501825" maxValue="1.0379073900608733"/>
    </cacheField>
    <cacheField name="Months (Observation Date)" numFmtId="0" databaseField="0">
      <fieldGroup base="0">
        <rangePr groupBy="months" startDate="2015-07-31T00:00:00" endDate="2026-06-01T00:00:00"/>
        <groupItems count="14">
          <s v="&lt;31/07/2015"/>
          <s v="Jan"/>
          <s v="Feb"/>
          <s v="Mar"/>
          <s v="Apr"/>
          <s v="May"/>
          <s v="Jun"/>
          <s v="Jul"/>
          <s v="Aug"/>
          <s v="Sept"/>
          <s v="Oct"/>
          <s v="Nov"/>
          <s v="Dec"/>
          <s v="&gt;01/06/2026"/>
        </groupItems>
      </fieldGroup>
    </cacheField>
    <cacheField name="Quarters (Observation Date)" numFmtId="0" databaseField="0">
      <fieldGroup base="0">
        <rangePr groupBy="quarters" startDate="2015-07-31T00:00:00" endDate="2026-06-01T00:00:00"/>
        <groupItems count="6">
          <s v="&lt;31/07/2015"/>
          <s v="Qtr1"/>
          <s v="Qtr2"/>
          <s v="Qtr3"/>
          <s v="Qtr4"/>
          <s v="&gt;01/06/2026"/>
        </groupItems>
      </fieldGroup>
    </cacheField>
    <cacheField name="Years (Observation Date)" numFmtId="0" databaseField="0">
      <fieldGroup base="0">
        <rangePr groupBy="years" startDate="2015-07-31T00:00:00" endDate="2026-06-01T00:00:00"/>
        <groupItems count="14">
          <s v="&lt;31/07/2015"/>
          <s v="2015"/>
          <s v="2016"/>
          <s v="2017"/>
          <s v="2018"/>
          <s v="2019"/>
          <s v="2020"/>
          <s v="2021"/>
          <s v="2022"/>
          <s v="2023"/>
          <s v="2024"/>
          <s v="2025"/>
          <s v="2026"/>
          <s v="&gt;01/06/2026"/>
        </groupItems>
      </fieldGroup>
    </cacheField>
  </cacheFields>
  <extLst>
    <ext xmlns:x14="http://schemas.microsoft.com/office/spreadsheetml/2009/9/main" uri="{725AE2AE-9491-48be-B2B4-4EB974FC3084}">
      <x14:pivotCacheDefinition pivotCacheId="857551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s v="Million USD"/>
    <x v="0"/>
    <x v="0"/>
    <x v="0"/>
    <n v="16352.8"/>
    <x v="0"/>
    <m/>
  </r>
  <r>
    <x v="1"/>
    <s v="Million USD"/>
    <x v="1"/>
    <x v="1"/>
    <x v="1"/>
    <n v="16035.5"/>
    <x v="1"/>
    <m/>
  </r>
  <r>
    <x v="2"/>
    <s v="Million USD"/>
    <x v="2"/>
    <x v="2"/>
    <x v="2"/>
    <n v="17857.599999999999"/>
    <x v="2"/>
    <m/>
  </r>
  <r>
    <x v="3"/>
    <s v="Million USD"/>
    <x v="3"/>
    <x v="3"/>
    <x v="3"/>
    <n v="17907.8"/>
    <x v="3"/>
    <m/>
  </r>
  <r>
    <x v="4"/>
    <s v="Million USD"/>
    <x v="4"/>
    <x v="4"/>
    <x v="4"/>
    <n v="17629.599999999999"/>
    <x v="4"/>
    <m/>
  </r>
  <r>
    <x v="5"/>
    <s v="Million USD"/>
    <x v="5"/>
    <x v="5"/>
    <x v="5"/>
    <n v="18839"/>
    <x v="5"/>
    <m/>
  </r>
  <r>
    <x v="6"/>
    <s v="Million USD"/>
    <x v="6"/>
    <x v="6"/>
    <x v="6"/>
    <n v="18126.400000000001"/>
    <x v="6"/>
    <m/>
  </r>
  <r>
    <x v="7"/>
    <s v="Million USD"/>
    <x v="7"/>
    <x v="7"/>
    <x v="7"/>
    <n v="18147.2"/>
    <x v="7"/>
    <m/>
  </r>
  <r>
    <x v="8"/>
    <s v="Million USD"/>
    <x v="8"/>
    <x v="8"/>
    <x v="8"/>
    <n v="18551.7"/>
    <x v="8"/>
    <m/>
  </r>
  <r>
    <x v="9"/>
    <s v="Million USD"/>
    <x v="9"/>
    <x v="9"/>
    <x v="9"/>
    <n v="18547.2"/>
    <x v="9"/>
    <m/>
  </r>
  <r>
    <x v="10"/>
    <s v="Million USD"/>
    <x v="10"/>
    <x v="10"/>
    <x v="10"/>
    <n v="19082.099999999999"/>
    <x v="10"/>
    <m/>
  </r>
  <r>
    <x v="11"/>
    <s v="Million USD"/>
    <x v="11"/>
    <x v="11"/>
    <x v="11"/>
    <n v="20799.8"/>
    <x v="11"/>
    <m/>
  </r>
  <r>
    <x v="12"/>
    <s v="Million USD"/>
    <x v="12"/>
    <x v="12"/>
    <x v="12"/>
    <n v="20638.400000000001"/>
    <x v="12"/>
    <n v="0.26207132723447985"/>
  </r>
  <r>
    <x v="13"/>
    <s v="Million USD"/>
    <x v="13"/>
    <x v="13"/>
    <x v="13"/>
    <n v="20633.899999999998"/>
    <x v="13"/>
    <n v="0.28676374294533991"/>
  </r>
  <r>
    <x v="14"/>
    <s v="Million USD"/>
    <x v="14"/>
    <x v="14"/>
    <x v="14"/>
    <n v="21043.1"/>
    <x v="14"/>
    <n v="0.17838343338410539"/>
  </r>
  <r>
    <x v="15"/>
    <s v="Million USD"/>
    <x v="15"/>
    <x v="15"/>
    <x v="15"/>
    <n v="21423.9"/>
    <x v="15"/>
    <n v="0.19634460961145436"/>
  </r>
  <r>
    <x v="16"/>
    <s v="Million USD"/>
    <x v="16"/>
    <x v="16"/>
    <x v="16"/>
    <n v="20862.3"/>
    <x v="16"/>
    <n v="0.18336774515587426"/>
  </r>
  <r>
    <x v="17"/>
    <s v="Million USD"/>
    <x v="17"/>
    <x v="17"/>
    <x v="17"/>
    <n v="20848.3"/>
    <x v="17"/>
    <n v="0.10665640426774241"/>
  </r>
  <r>
    <x v="18"/>
    <s v="Million USD"/>
    <x v="18"/>
    <x v="18"/>
    <x v="18"/>
    <n v="19804.599999999999"/>
    <x v="18"/>
    <n v="9.2583193574013428E-2"/>
  </r>
  <r>
    <x v="19"/>
    <s v="Million USD"/>
    <x v="19"/>
    <x v="19"/>
    <x v="19"/>
    <n v="19436.100000000002"/>
    <x v="19"/>
    <n v="7.1024731087991608E-2"/>
  </r>
  <r>
    <x v="20"/>
    <s v="Million USD"/>
    <x v="20"/>
    <x v="20"/>
    <x v="20"/>
    <n v="18773.8"/>
    <x v="20"/>
    <n v="1.1971948662386657E-2"/>
  </r>
  <r>
    <x v="21"/>
    <s v="Million USD"/>
    <x v="21"/>
    <x v="21"/>
    <x v="21"/>
    <n v="18398"/>
    <x v="21"/>
    <n v="-8.0443409247757461E-3"/>
  </r>
  <r>
    <x v="22"/>
    <s v="Million USD"/>
    <x v="22"/>
    <x v="22"/>
    <x v="22"/>
    <n v="18694.5"/>
    <x v="22"/>
    <n v="-2.0312229786029763E-2"/>
  </r>
  <r>
    <x v="23"/>
    <s v="Million USD"/>
    <x v="23"/>
    <x v="23"/>
    <x v="23"/>
    <n v="19282.400000000001"/>
    <x v="23"/>
    <n v="-7.2952624544466674E-2"/>
  </r>
  <r>
    <x v="24"/>
    <s v="Million USD"/>
    <x v="24"/>
    <x v="24"/>
    <x v="24"/>
    <n v="17446.599999999999"/>
    <x v="24"/>
    <n v="-0.1546534615086442"/>
  </r>
  <r>
    <x v="25"/>
    <s v="Million USD"/>
    <x v="25"/>
    <x v="25"/>
    <x v="25"/>
    <n v="17456.8"/>
    <x v="25"/>
    <n v="-0.15397476967514617"/>
  </r>
  <r>
    <x v="26"/>
    <s v="Million USD"/>
    <x v="26"/>
    <x v="26"/>
    <x v="26"/>
    <n v="16646.400000000001"/>
    <x v="26"/>
    <n v="-0.20893784661005257"/>
  </r>
  <r>
    <x v="27"/>
    <s v="Million USD"/>
    <x v="27"/>
    <x v="27"/>
    <x v="27"/>
    <n v="16501.3"/>
    <x v="27"/>
    <n v="-0.22977142350365723"/>
  </r>
  <r>
    <x v="28"/>
    <s v="Million USD"/>
    <x v="28"/>
    <x v="28"/>
    <x v="28"/>
    <n v="15437.2"/>
    <x v="28"/>
    <n v="-0.2600432358848257"/>
  </r>
  <r>
    <x v="29"/>
    <s v="Million USD"/>
    <x v="29"/>
    <x v="29"/>
    <x v="29"/>
    <n v="17169.3"/>
    <x v="29"/>
    <n v="-0.17646522738064974"/>
  </r>
  <r>
    <x v="30"/>
    <s v="Million USD"/>
    <x v="30"/>
    <x v="30"/>
    <x v="30"/>
    <n v="15743.199999999999"/>
    <x v="30"/>
    <n v="-0.20507356876685215"/>
  </r>
  <r>
    <x v="31"/>
    <s v="Million USD"/>
    <x v="31"/>
    <x v="31"/>
    <x v="31"/>
    <n v="15233.8"/>
    <x v="31"/>
    <n v="-0.21621107115110555"/>
  </r>
  <r>
    <x v="32"/>
    <s v="Million USD"/>
    <x v="32"/>
    <x v="32"/>
    <x v="32"/>
    <n v="14578.1"/>
    <x v="32"/>
    <n v="-0.22348698718426738"/>
  </r>
  <r>
    <x v="33"/>
    <s v="Million USD"/>
    <x v="33"/>
    <x v="33"/>
    <x v="33"/>
    <n v="14307.3"/>
    <x v="33"/>
    <n v="-0.22234482008914017"/>
  </r>
  <r>
    <x v="34"/>
    <s v="Million USD"/>
    <x v="34"/>
    <x v="34"/>
    <x v="34"/>
    <n v="12367.6"/>
    <x v="34"/>
    <n v="-0.33843643852469973"/>
  </r>
  <r>
    <x v="35"/>
    <s v="Million USD"/>
    <x v="35"/>
    <x v="35"/>
    <x v="35"/>
    <n v="12804.4"/>
    <x v="35"/>
    <n v="-0.33595403061859525"/>
  </r>
  <r>
    <x v="36"/>
    <s v="Million USD"/>
    <x v="36"/>
    <x v="36"/>
    <x v="36"/>
    <n v="13326.900000000001"/>
    <x v="36"/>
    <n v="-0.23613196840645154"/>
  </r>
  <r>
    <x v="37"/>
    <s v="Million USD"/>
    <x v="37"/>
    <x v="37"/>
    <x v="37"/>
    <n v="12889"/>
    <x v="37"/>
    <n v="-0.26166307685257317"/>
  </r>
  <r>
    <x v="38"/>
    <s v="Million USD"/>
    <x v="38"/>
    <x v="38"/>
    <x v="38"/>
    <n v="11504.7"/>
    <x v="38"/>
    <n v="-0.30887759515570934"/>
  </r>
  <r>
    <x v="39"/>
    <s v="Million USD"/>
    <x v="39"/>
    <x v="39"/>
    <x v="39"/>
    <n v="10675.5"/>
    <x v="39"/>
    <n v="-0.35305097174162031"/>
  </r>
  <r>
    <x v="40"/>
    <s v="Million USD"/>
    <x v="40"/>
    <x v="40"/>
    <x v="40"/>
    <n v="10513.3"/>
    <x v="40"/>
    <n v="-0.31896328349700731"/>
  </r>
  <r>
    <x v="41"/>
    <s v="Million USD"/>
    <x v="41"/>
    <x v="41"/>
    <x v="41"/>
    <n v="10101.9"/>
    <x v="41"/>
    <n v="-0.41163006063147595"/>
  </r>
  <r>
    <x v="42"/>
    <s v="Million USD"/>
    <x v="42"/>
    <x v="42"/>
    <x v="42"/>
    <n v="11358.900000000001"/>
    <x v="42"/>
    <n v="-0.27848849026881434"/>
  </r>
  <r>
    <x v="43"/>
    <s v="Million USD"/>
    <x v="43"/>
    <x v="43"/>
    <x v="43"/>
    <n v="11445"/>
    <x v="43"/>
    <n v="-0.2487101051608922"/>
  </r>
  <r>
    <x v="44"/>
    <s v="Million USD"/>
    <x v="29"/>
    <x v="44"/>
    <x v="44"/>
    <n v="13839.2"/>
    <x v="44"/>
    <n v="-5.0685617467296808E-2"/>
  </r>
  <r>
    <x v="45"/>
    <s v="Million USD"/>
    <x v="44"/>
    <x v="45"/>
    <x v="45"/>
    <n v="11930.5"/>
    <x v="45"/>
    <n v="-0.16612498514744217"/>
  </r>
  <r>
    <x v="46"/>
    <s v="Million USD"/>
    <x v="45"/>
    <x v="46"/>
    <x v="46"/>
    <n v="11102.4"/>
    <x v="46"/>
    <n v="-0.10229955690675642"/>
  </r>
  <r>
    <x v="47"/>
    <s v="Million USD"/>
    <x v="46"/>
    <x v="47"/>
    <x v="47"/>
    <n v="10652.5"/>
    <x v="47"/>
    <n v="-0.1680594170753803"/>
  </r>
  <r>
    <x v="48"/>
    <s v="Million USD"/>
    <x v="47"/>
    <x v="48"/>
    <x v="48"/>
    <n v="11428.5"/>
    <x v="48"/>
    <n v="-0.14244873151295509"/>
  </r>
  <r>
    <x v="49"/>
    <s v="Million USD"/>
    <x v="48"/>
    <x v="49"/>
    <x v="49"/>
    <n v="11984.7"/>
    <x v="49"/>
    <n v="-7.0160602063775251E-2"/>
  </r>
  <r>
    <x v="50"/>
    <s v="Million USD"/>
    <x v="49"/>
    <x v="50"/>
    <x v="50"/>
    <n v="11345.1"/>
    <x v="50"/>
    <n v="-1.3872591201856663E-2"/>
  </r>
  <r>
    <x v="51"/>
    <s v="Million USD"/>
    <x v="50"/>
    <x v="51"/>
    <x v="51"/>
    <n v="11638.900000000001"/>
    <x v="51"/>
    <n v="9.0244016673692237E-2"/>
  </r>
  <r>
    <x v="52"/>
    <s v="Million USD"/>
    <x v="51"/>
    <x v="52"/>
    <x v="52"/>
    <n v="12395.5"/>
    <x v="52"/>
    <n v="0.17903037105380812"/>
  </r>
  <r>
    <x v="53"/>
    <s v="Million USD"/>
    <x v="52"/>
    <x v="53"/>
    <x v="53"/>
    <n v="14457.300000000001"/>
    <x v="53"/>
    <n v="0.43114661598313203"/>
  </r>
  <r>
    <x v="54"/>
    <s v="Million USD"/>
    <x v="53"/>
    <x v="54"/>
    <x v="54"/>
    <n v="15831.900000000001"/>
    <x v="54"/>
    <n v="0.39378813089295611"/>
  </r>
  <r>
    <x v="55"/>
    <s v="Million USD"/>
    <x v="54"/>
    <x v="55"/>
    <x v="55"/>
    <n v="16277.900000000001"/>
    <x v="55"/>
    <n v="0.42227173438182625"/>
  </r>
  <r>
    <x v="56"/>
    <s v="Million USD"/>
    <x v="55"/>
    <x v="56"/>
    <x v="56"/>
    <n v="14021.199999999999"/>
    <x v="56"/>
    <n v="1.3151049193594872E-2"/>
  </r>
  <r>
    <x v="57"/>
    <s v="Million USD"/>
    <x v="56"/>
    <x v="57"/>
    <x v="57"/>
    <n v="15104.9"/>
    <x v="57"/>
    <n v="0.2660743472612212"/>
  </r>
  <r>
    <x v="58"/>
    <s v="Million USD"/>
    <x v="57"/>
    <x v="58"/>
    <x v="58"/>
    <n v="13315.4"/>
    <x v="58"/>
    <n v="0.19932627179708892"/>
  </r>
  <r>
    <x v="59"/>
    <s v="Million USD"/>
    <x v="58"/>
    <x v="59"/>
    <x v="59"/>
    <n v="15221.6"/>
    <x v="59"/>
    <n v="0.42892278807791601"/>
  </r>
  <r>
    <x v="60"/>
    <s v="Million USD"/>
    <x v="59"/>
    <x v="60"/>
    <x v="60"/>
    <n v="16164.099999999999"/>
    <x v="60"/>
    <n v="0.4143675897974361"/>
  </r>
  <r>
    <x v="61"/>
    <s v="Million USD"/>
    <x v="60"/>
    <x v="61"/>
    <x v="61"/>
    <n v="16377.8"/>
    <x v="61"/>
    <n v="0.36655902942918872"/>
  </r>
  <r>
    <x v="62"/>
    <s v="Million USD"/>
    <x v="61"/>
    <x v="62"/>
    <x v="62"/>
    <n v="15747.2"/>
    <x v="62"/>
    <n v="0.38801773452856303"/>
  </r>
  <r>
    <x v="63"/>
    <s v="Million USD"/>
    <x v="62"/>
    <x v="63"/>
    <x v="63"/>
    <n v="15887.2"/>
    <x v="63"/>
    <n v="0.36500872075539775"/>
  </r>
  <r>
    <x v="64"/>
    <s v="Million USD"/>
    <x v="63"/>
    <x v="64"/>
    <x v="64"/>
    <n v="16956.8"/>
    <x v="64"/>
    <n v="0.36798031543705373"/>
  </r>
  <r>
    <x v="65"/>
    <s v="Million USD"/>
    <x v="64"/>
    <x v="65"/>
    <x v="65"/>
    <n v="17325.399999999998"/>
    <x v="65"/>
    <n v="0.1983842072862842"/>
  </r>
  <r>
    <x v="66"/>
    <s v="Million USD"/>
    <x v="65"/>
    <x v="66"/>
    <x v="66"/>
    <n v="16924.3"/>
    <x v="66"/>
    <n v="6.8999930520025884E-2"/>
  </r>
  <r>
    <x v="67"/>
    <s v="Million USD"/>
    <x v="66"/>
    <x v="67"/>
    <x v="67"/>
    <n v="16881"/>
    <x v="67"/>
    <n v="3.7050233752510979E-2"/>
  </r>
  <r>
    <x v="68"/>
    <s v="Million USD"/>
    <x v="67"/>
    <x v="68"/>
    <x v="68"/>
    <n v="16921.8"/>
    <x v="68"/>
    <n v="0.20687245028956155"/>
  </r>
  <r>
    <x v="69"/>
    <s v="Million USD"/>
    <x v="68"/>
    <x v="69"/>
    <x v="69"/>
    <n v="18679.5"/>
    <x v="69"/>
    <n v="0.23665168256658439"/>
  </r>
  <r>
    <x v="70"/>
    <s v="Million USD"/>
    <x v="69"/>
    <x v="70"/>
    <x v="70"/>
    <n v="19076.099999999999"/>
    <x v="70"/>
    <n v="0.43263439325893321"/>
  </r>
  <r>
    <x v="71"/>
    <s v="Million USD"/>
    <x v="70"/>
    <x v="71"/>
    <x v="71"/>
    <n v="20053.199999999997"/>
    <x v="71"/>
    <n v="0.31741735428601436"/>
  </r>
  <r>
    <x v="72"/>
    <s v="Million USD"/>
    <x v="71"/>
    <x v="72"/>
    <x v="72"/>
    <n v="20606.5"/>
    <x v="72"/>
    <n v="0.27483126187044138"/>
  </r>
  <r>
    <x v="73"/>
    <s v="Million USD"/>
    <x v="72"/>
    <x v="73"/>
    <x v="73"/>
    <n v="23039.599999999999"/>
    <x v="73"/>
    <n v="0.40675792841529385"/>
  </r>
  <r>
    <x v="74"/>
    <s v="Million USD"/>
    <x v="73"/>
    <x v="74"/>
    <x v="74"/>
    <n v="21884.199999999997"/>
    <x v="74"/>
    <n v="0.38972007722007695"/>
  </r>
  <r>
    <x v="75"/>
    <s v="Million USD"/>
    <x v="74"/>
    <x v="75"/>
    <x v="75"/>
    <n v="19672.8"/>
    <x v="75"/>
    <n v="0.23827987310539292"/>
  </r>
  <r>
    <x v="76"/>
    <s v="Million USD"/>
    <x v="75"/>
    <x v="76"/>
    <x v="76"/>
    <n v="18416.3"/>
    <x v="76"/>
    <n v="8.6071664464993397E-2"/>
  </r>
  <r>
    <x v="77"/>
    <s v="Million USD"/>
    <x v="76"/>
    <x v="77"/>
    <x v="77"/>
    <n v="20134.8"/>
    <x v="77"/>
    <n v="0.16215498632066225"/>
  </r>
  <r>
    <x v="78"/>
    <s v="Million USD"/>
    <x v="77"/>
    <x v="78"/>
    <x v="78"/>
    <n v="19521.39"/>
    <x v="78"/>
    <n v="0.15345331860106476"/>
  </r>
  <r>
    <x v="79"/>
    <s v="Million USD"/>
    <x v="78"/>
    <x v="79"/>
    <x v="79"/>
    <n v="19664.150000000001"/>
    <x v="79"/>
    <n v="0.16486878739411182"/>
  </r>
  <r>
    <x v="80"/>
    <s v="Million USD"/>
    <x v="79"/>
    <x v="80"/>
    <x v="80"/>
    <n v="14583.460000000001"/>
    <x v="80"/>
    <n v="-0.13818506305475767"/>
  </r>
  <r>
    <x v="81"/>
    <s v="Million USD"/>
    <x v="80"/>
    <x v="81"/>
    <x v="81"/>
    <n v="13523.23"/>
    <x v="81"/>
    <n v="-0.27603897320592097"/>
  </r>
  <r>
    <x v="82"/>
    <s v="Million USD"/>
    <x v="81"/>
    <x v="82"/>
    <x v="82"/>
    <n v="11708.41"/>
    <x v="82"/>
    <n v="-0.38622622024417985"/>
  </r>
  <r>
    <x v="83"/>
    <s v="Million USD"/>
    <x v="82"/>
    <x v="83"/>
    <x v="83"/>
    <n v="12644.36"/>
    <x v="83"/>
    <n v="-0.36945923842578726"/>
  </r>
  <r>
    <x v="84"/>
    <s v="Million USD"/>
    <x v="83"/>
    <x v="84"/>
    <x v="84"/>
    <n v="10648.650000000001"/>
    <x v="84"/>
    <n v="-0.48323829859510342"/>
  </r>
  <r>
    <x v="85"/>
    <s v="Million USD"/>
    <x v="84"/>
    <x v="85"/>
    <x v="85"/>
    <n v="10885.89"/>
    <x v="85"/>
    <n v="-0.52751393253355094"/>
  </r>
  <r>
    <x v="86"/>
    <s v="Million USD"/>
    <x v="85"/>
    <x v="86"/>
    <x v="86"/>
    <n v="10259.119999999999"/>
    <x v="86"/>
    <n v="-0.53120881732025849"/>
  </r>
  <r>
    <x v="87"/>
    <s v="Million USD"/>
    <x v="86"/>
    <x v="87"/>
    <x v="87"/>
    <n v="10840.960000000001"/>
    <x v="87"/>
    <n v="-0.44893660282217063"/>
  </r>
  <r>
    <x v="88"/>
    <s v="Million USD"/>
    <x v="87"/>
    <x v="88"/>
    <x v="88"/>
    <n v="9905.86"/>
    <x v="88"/>
    <n v="-0.46211453983699219"/>
  </r>
  <r>
    <x v="89"/>
    <s v="Million USD"/>
    <x v="88"/>
    <x v="89"/>
    <x v="89"/>
    <n v="7465.08"/>
    <x v="89"/>
    <n v="-0.62924488944513979"/>
  </r>
  <r>
    <x v="90"/>
    <s v="Million USD"/>
    <x v="89"/>
    <x v="90"/>
    <x v="90"/>
    <n v="5335.68"/>
    <x v="90"/>
    <n v="-0.72667520089501825"/>
  </r>
  <r>
    <x v="91"/>
    <s v="Million USD"/>
    <x v="90"/>
    <x v="91"/>
    <x v="91"/>
    <n v="6076.92"/>
    <x v="91"/>
    <n v="-0.69096452173117073"/>
  </r>
  <r>
    <x v="92"/>
    <s v="Million USD"/>
    <x v="91"/>
    <x v="92"/>
    <x v="92"/>
    <n v="7319.4400000000005"/>
    <x v="92"/>
    <n v="-0.49809990221799216"/>
  </r>
  <r>
    <x v="93"/>
    <s v="Million USD"/>
    <x v="92"/>
    <x v="93"/>
    <x v="93"/>
    <n v="7544.48"/>
    <x v="93"/>
    <n v="-0.4421096143450936"/>
  </r>
  <r>
    <x v="94"/>
    <s v="Million USD"/>
    <x v="93"/>
    <x v="94"/>
    <x v="94"/>
    <n v="6807.24"/>
    <x v="94"/>
    <n v="-0.41860252587669888"/>
  </r>
  <r>
    <x v="95"/>
    <s v="Million USD"/>
    <x v="94"/>
    <x v="95"/>
    <x v="95"/>
    <n v="7438.7900000000009"/>
    <x v="95"/>
    <n v="-0.41169106226016972"/>
  </r>
  <r>
    <x v="96"/>
    <s v="Million USD"/>
    <x v="95"/>
    <x v="96"/>
    <x v="96"/>
    <n v="11096.651269"/>
    <x v="96"/>
    <n v="4.207117982091612E-2"/>
  </r>
  <r>
    <x v="97"/>
    <s v="Million USD"/>
    <x v="96"/>
    <x v="97"/>
    <x v="97"/>
    <n v="10826.006165999999"/>
    <x v="97"/>
    <n v="-5.5010508098097821E-3"/>
  </r>
  <r>
    <x v="98"/>
    <s v="Million USD"/>
    <x v="97"/>
    <x v="98"/>
    <x v="98"/>
    <n v="10112.035486000001"/>
    <x v="98"/>
    <n v="-1.4336952292204237E-2"/>
  </r>
  <r>
    <x v="99"/>
    <s v="Million USD"/>
    <x v="98"/>
    <x v="99"/>
    <x v="99"/>
    <n v="9878.3331529999996"/>
    <x v="99"/>
    <n v="-8.879535087298554E-2"/>
  </r>
  <r>
    <x v="100"/>
    <s v="Million USD"/>
    <x v="99"/>
    <x v="100"/>
    <x v="100"/>
    <n v="9664.8179089999994"/>
    <x v="100"/>
    <n v="-2.4333282622609361E-2"/>
  </r>
  <r>
    <x v="101"/>
    <s v="Million USD"/>
    <x v="100"/>
    <x v="101"/>
    <x v="101"/>
    <n v="10924.091587999999"/>
    <x v="101"/>
    <n v="0.46335894431138036"/>
  </r>
  <r>
    <x v="102"/>
    <s v="Million USD"/>
    <x v="101"/>
    <x v="102"/>
    <x v="102"/>
    <n v="10873.621703000001"/>
    <x v="102"/>
    <n v="1.0379073900608733"/>
  </r>
  <r>
    <x v="103"/>
    <s v="Million USD"/>
    <x v="102"/>
    <x v="103"/>
    <x v="103"/>
    <n v="10999.483114999999"/>
    <x v="103"/>
    <n v="0.81004244173035012"/>
  </r>
  <r>
    <x v="104"/>
    <s v="Million USD"/>
    <x v="103"/>
    <x v="104"/>
    <x v="104"/>
    <n v="11265.040615"/>
    <x v="104"/>
    <n v="0.53905771684719039"/>
  </r>
  <r>
    <x v="105"/>
    <s v="Million USD"/>
    <x v="104"/>
    <x v="105"/>
    <x v="105"/>
    <n v="11673.864174999999"/>
    <x v="105"/>
    <n v="0.54733847461985441"/>
  </r>
  <r>
    <x v="106"/>
    <s v="Million USD"/>
    <x v="105"/>
    <x v="106"/>
    <x v="106"/>
    <n v="11762.234737999999"/>
    <x v="106"/>
    <n v="0.727900696611255"/>
  </r>
  <r>
    <x v="107"/>
    <s v="Million USD"/>
    <x v="106"/>
    <x v="107"/>
    <x v="107"/>
    <n v="12386.752741999999"/>
    <x v="107"/>
    <n v="0.66515693304959511"/>
  </r>
  <r>
    <x v="108"/>
    <s v="Million USD"/>
    <x v="107"/>
    <x v="108"/>
    <x v="108"/>
    <n v="11842.37"/>
    <x v="108"/>
    <n v="6.7202141702268972E-2"/>
  </r>
  <r>
    <x v="109"/>
    <s v="Million USD"/>
    <x v="108"/>
    <x v="109"/>
    <x v="109"/>
    <n v="11961.802261000001"/>
    <x v="109"/>
    <n v="0.10491367523575468"/>
  </r>
  <r>
    <x v="110"/>
    <s v="Million USD"/>
    <x v="109"/>
    <x v="110"/>
    <x v="110"/>
    <n v="13010.265170999999"/>
    <x v="110"/>
    <n v="0.28661189816951937"/>
  </r>
  <r>
    <x v="111"/>
    <s v="Million USD"/>
    <x v="110"/>
    <x v="111"/>
    <x v="111"/>
    <n v="13319.976118999999"/>
    <x v="111"/>
    <n v="0.34840320858735058"/>
  </r>
  <r>
    <x v="112"/>
    <s v="Million USD"/>
    <x v="111"/>
    <x v="112"/>
    <x v="112"/>
    <n v="14102.513932"/>
    <x v="112"/>
    <n v="0.45915981705848408"/>
  </r>
  <r>
    <x v="113"/>
    <s v="Million USD"/>
    <x v="112"/>
    <x v="113"/>
    <x v="113"/>
    <n v="14135.624765999999"/>
    <x v="113"/>
    <n v="0.29398629186959907"/>
  </r>
  <r>
    <x v="114"/>
    <s v="Million USD"/>
    <x v="113"/>
    <x v="114"/>
    <x v="114"/>
    <n v="13850.058295999999"/>
    <x v="114"/>
    <n v="0.27373001142561437"/>
  </r>
  <r>
    <x v="115"/>
    <s v="Million USD"/>
    <x v="114"/>
    <x v="115"/>
    <x v="115"/>
    <n v="13407.816282"/>
    <x v="115"/>
    <n v="0.21894966716351932"/>
  </r>
  <r>
    <x v="116"/>
    <s v="Million USD"/>
    <x v="115"/>
    <x v="116"/>
    <x v="116"/>
    <n v="13275.16374"/>
    <x v="116"/>
    <n v="0.17843904817559328"/>
  </r>
  <r>
    <x v="117"/>
    <s v="Million USD"/>
    <x v="116"/>
    <x v="117"/>
    <x v="117"/>
    <n v="12692.53803"/>
    <x v="117"/>
    <n v="8.7261067948822615E-2"/>
  </r>
  <r>
    <x v="118"/>
    <s v="Million USD"/>
    <x v="117"/>
    <x v="118"/>
    <x v="118"/>
    <n v="13991.470658999999"/>
    <x v="118"/>
    <n v="0.18952486246495787"/>
  </r>
  <r>
    <x v="119"/>
    <s v="Million USD"/>
    <x v="118"/>
    <x v="119"/>
    <x v="119"/>
    <n v="17155.043602000002"/>
    <x v="119"/>
    <n v="0.38495083895814503"/>
  </r>
  <r>
    <x v="120"/>
    <s v="Million USD"/>
    <x v="119"/>
    <x v="120"/>
    <x v="120"/>
    <n v="16811.355109"/>
    <x v="120"/>
    <n v="0.41959380672956503"/>
  </r>
  <r>
    <x v="121"/>
    <s v="Million USD"/>
    <x v="120"/>
    <x v="121"/>
    <x v="121"/>
    <n v="16773.626604000001"/>
    <x v="121"/>
    <n v="0.4022658323560796"/>
  </r>
  <r>
    <x v="122"/>
    <s v="Million USD"/>
    <x v="121"/>
    <x v="122"/>
    <x v="122"/>
    <n v="16213.108416000001"/>
    <x v="122"/>
    <n v="0.24617816800069295"/>
  </r>
  <r>
    <x v="123"/>
    <s v="Million USD"/>
    <x v="122"/>
    <x v="123"/>
    <x v="123"/>
    <n v="16714.470873999999"/>
    <x v="123"/>
    <n v="0.25484240547233372"/>
  </r>
  <r>
    <x v="124"/>
    <s v="Million USD"/>
    <x v="123"/>
    <x v="124"/>
    <x v="124"/>
    <n v="16679.041987000001"/>
    <x v="124"/>
    <n v="0.18269991204572425"/>
  </r>
  <r>
    <x v="125"/>
    <s v="Million USD"/>
    <x v="124"/>
    <x v="125"/>
    <x v="125"/>
    <n v="18256.597892999998"/>
    <x v="125"/>
    <n v="0.29153102145948684"/>
  </r>
  <r>
    <x v="126"/>
    <s v="Million USD"/>
    <x v="125"/>
    <x v="126"/>
    <x v="126"/>
    <n v="18435.849753999999"/>
    <x v="126"/>
    <n v="0.33110268274642646"/>
  </r>
  <r>
    <x v="127"/>
    <s v="Million USD"/>
    <x v="126"/>
    <x v="127"/>
    <x v="127"/>
    <n v="18634.531222000001"/>
    <x v="127"/>
    <n v="0.38982596644144574"/>
  </r>
  <r>
    <x v="128"/>
    <s v="Million USD"/>
    <x v="127"/>
    <x v="128"/>
    <x v="128"/>
    <n v="19342.588162"/>
    <x v="128"/>
    <n v="0.45705081615814408"/>
  </r>
  <r>
    <x v="129"/>
    <s v="Million USD"/>
    <x v="128"/>
    <x v="129"/>
    <x v="129"/>
    <n v="18759.32"/>
    <x v="129"/>
    <n v="0.47798020818693582"/>
  </r>
  <r>
    <x v="130"/>
    <s v="Million USD"/>
    <x v="129"/>
    <x v="130"/>
    <x v="130"/>
    <n v="20188.7"/>
    <x v="130"/>
    <n v="0.442929088159409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521A6C-454B-46F2-A3D8-30C86980CC46}"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D16" firstHeaderRow="0" firstDataRow="1" firstDataCol="1"/>
  <pivotFields count="11">
    <pivotField numFmtId="14"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showAll="0"/>
    <pivotField numFmtId="1" showAll="0">
      <items count="131">
        <item x="4"/>
        <item x="5"/>
        <item x="0"/>
        <item x="6"/>
        <item x="2"/>
        <item x="1"/>
        <item x="3"/>
        <item x="17"/>
        <item x="16"/>
        <item x="38"/>
        <item x="37"/>
        <item x="10"/>
        <item x="18"/>
        <item x="39"/>
        <item x="40"/>
        <item x="36"/>
        <item x="7"/>
        <item x="8"/>
        <item x="23"/>
        <item x="20"/>
        <item x="35"/>
        <item x="19"/>
        <item x="22"/>
        <item x="21"/>
        <item x="24"/>
        <item x="27"/>
        <item x="15"/>
        <item x="28"/>
        <item x="41"/>
        <item x="26"/>
        <item x="44"/>
        <item x="9"/>
        <item x="29"/>
        <item x="45"/>
        <item x="34"/>
        <item x="13"/>
        <item x="25"/>
        <item x="33"/>
        <item x="31"/>
        <item x="11"/>
        <item x="43"/>
        <item x="14"/>
        <item x="32"/>
        <item x="42"/>
        <item x="12"/>
        <item x="30"/>
        <item x="46"/>
        <item x="47"/>
        <item x="51"/>
        <item x="49"/>
        <item x="50"/>
        <item x="52"/>
        <item x="48"/>
        <item x="53"/>
        <item x="55"/>
        <item x="54"/>
        <item x="86"/>
        <item x="85"/>
        <item x="67"/>
        <item x="56"/>
        <item x="84"/>
        <item x="57"/>
        <item x="66"/>
        <item x="73"/>
        <item x="83"/>
        <item x="87"/>
        <item x="63"/>
        <item x="70"/>
        <item x="68"/>
        <item x="58"/>
        <item x="74"/>
        <item x="77"/>
        <item x="75"/>
        <item x="88"/>
        <item x="72"/>
        <item x="82"/>
        <item x="76"/>
        <item x="90"/>
        <item x="71"/>
        <item x="81"/>
        <item x="65"/>
        <item x="97"/>
        <item x="62"/>
        <item x="61"/>
        <item x="64"/>
        <item x="69"/>
        <item x="78"/>
        <item x="80"/>
        <item x="94"/>
        <item x="89"/>
        <item x="79"/>
        <item x="96"/>
        <item x="60"/>
        <item x="93"/>
        <item x="59"/>
        <item x="95"/>
        <item x="91"/>
        <item x="92"/>
        <item x="98"/>
        <item x="99"/>
        <item x="102"/>
        <item x="101"/>
        <item x="100"/>
        <item x="103"/>
        <item x="104"/>
        <item x="106"/>
        <item x="105"/>
        <item x="107"/>
        <item x="108"/>
        <item x="112"/>
        <item x="109"/>
        <item x="111"/>
        <item x="110"/>
        <item x="113"/>
        <item x="114"/>
        <item x="115"/>
        <item x="117"/>
        <item x="118"/>
        <item x="119"/>
        <item x="116"/>
        <item x="120"/>
        <item x="121"/>
        <item x="122"/>
        <item x="123"/>
        <item x="124"/>
        <item x="129"/>
        <item x="127"/>
        <item x="128"/>
        <item x="125"/>
        <item x="126"/>
        <item t="default"/>
      </items>
    </pivotField>
    <pivotField dataField="1" numFmtId="1" showAll="0"/>
    <pivotField dataField="1" numFmtId="1" showAll="0"/>
    <pivotField dataField="1" numFmtI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Total SBP Reserves" fld="3" baseField="0" baseItem="0" numFmtId="1"/>
    <dataField name="Sum of Total Banks Reserves" fld="4" baseField="0" baseItem="0" numFmtId="1"/>
    <dataField name="Sum of Total Reserves" fld="5" baseField="0" baseItem="0" numFmtId="1"/>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9522AE-D980-4019-AD18-DAB706E830A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9" firstHeaderRow="0" firstDataRow="1" firstDataCol="1"/>
  <pivotFields count="11">
    <pivotField numFmtId="14"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showAll="0"/>
    <pivotField dataField="1" numFmtId="1" showAll="0">
      <items count="131">
        <item x="4"/>
        <item x="5"/>
        <item x="0"/>
        <item x="6"/>
        <item x="2"/>
        <item x="1"/>
        <item x="3"/>
        <item x="17"/>
        <item x="16"/>
        <item x="38"/>
        <item x="37"/>
        <item x="10"/>
        <item x="18"/>
        <item x="39"/>
        <item x="40"/>
        <item x="36"/>
        <item x="7"/>
        <item x="8"/>
        <item x="23"/>
        <item x="20"/>
        <item x="35"/>
        <item x="19"/>
        <item x="22"/>
        <item x="21"/>
        <item x="24"/>
        <item x="27"/>
        <item x="15"/>
        <item x="28"/>
        <item x="41"/>
        <item x="26"/>
        <item x="44"/>
        <item x="9"/>
        <item x="29"/>
        <item x="45"/>
        <item x="34"/>
        <item x="13"/>
        <item x="25"/>
        <item x="33"/>
        <item x="31"/>
        <item x="11"/>
        <item x="43"/>
        <item x="14"/>
        <item x="32"/>
        <item x="42"/>
        <item x="12"/>
        <item x="30"/>
        <item x="46"/>
        <item x="47"/>
        <item x="51"/>
        <item x="49"/>
        <item x="50"/>
        <item x="52"/>
        <item x="48"/>
        <item x="53"/>
        <item x="55"/>
        <item x="54"/>
        <item x="86"/>
        <item x="85"/>
        <item x="67"/>
        <item x="56"/>
        <item x="84"/>
        <item x="57"/>
        <item x="66"/>
        <item x="73"/>
        <item x="83"/>
        <item x="87"/>
        <item x="63"/>
        <item x="70"/>
        <item x="68"/>
        <item x="58"/>
        <item x="74"/>
        <item x="77"/>
        <item x="75"/>
        <item x="88"/>
        <item x="72"/>
        <item x="82"/>
        <item x="76"/>
        <item x="90"/>
        <item x="71"/>
        <item x="81"/>
        <item x="65"/>
        <item x="97"/>
        <item x="62"/>
        <item x="61"/>
        <item x="64"/>
        <item x="69"/>
        <item x="78"/>
        <item x="80"/>
        <item x="94"/>
        <item x="89"/>
        <item x="79"/>
        <item x="96"/>
        <item x="60"/>
        <item x="93"/>
        <item x="59"/>
        <item x="95"/>
        <item x="91"/>
        <item x="92"/>
        <item x="98"/>
        <item x="99"/>
        <item x="102"/>
        <item x="101"/>
        <item x="100"/>
        <item x="103"/>
        <item x="104"/>
        <item x="106"/>
        <item x="105"/>
        <item x="107"/>
        <item x="108"/>
        <item x="112"/>
        <item x="109"/>
        <item x="111"/>
        <item x="110"/>
        <item x="113"/>
        <item x="114"/>
        <item x="115"/>
        <item x="117"/>
        <item x="118"/>
        <item x="119"/>
        <item x="116"/>
        <item x="120"/>
        <item x="121"/>
        <item x="122"/>
        <item x="123"/>
        <item x="124"/>
        <item x="129"/>
        <item x="127"/>
        <item x="128"/>
        <item x="125"/>
        <item x="126"/>
        <item t="default"/>
      </items>
    </pivotField>
    <pivotField dataField="1" numFmtId="1" showAll="0">
      <items count="132">
        <item x="90"/>
        <item x="94"/>
        <item x="91"/>
        <item x="92"/>
        <item x="95"/>
        <item x="93"/>
        <item x="89"/>
        <item x="100"/>
        <item x="99"/>
        <item x="41"/>
        <item x="98"/>
        <item x="47"/>
        <item x="88"/>
        <item x="97"/>
        <item x="40"/>
        <item x="86"/>
        <item x="39"/>
        <item x="103"/>
        <item x="104"/>
        <item x="46"/>
        <item x="96"/>
        <item x="102"/>
        <item x="101"/>
        <item x="48"/>
        <item x="43"/>
        <item x="50"/>
        <item x="42"/>
        <item x="84"/>
        <item x="51"/>
        <item x="38"/>
        <item x="49"/>
        <item x="87"/>
        <item x="85"/>
        <item x="45"/>
        <item x="106"/>
        <item x="105"/>
        <item x="108"/>
        <item x="107"/>
        <item x="52"/>
        <item x="109"/>
        <item x="82"/>
        <item x="34"/>
        <item x="35"/>
        <item x="83"/>
        <item x="37"/>
        <item x="36"/>
        <item x="117"/>
        <item x="116"/>
        <item x="81"/>
        <item x="110"/>
        <item x="58"/>
        <item x="44"/>
        <item x="111"/>
        <item x="115"/>
        <item x="56"/>
        <item x="114"/>
        <item x="33"/>
        <item x="118"/>
        <item x="80"/>
        <item x="53"/>
        <item x="32"/>
        <item x="113"/>
        <item x="112"/>
        <item x="62"/>
        <item x="63"/>
        <item x="31"/>
        <item x="59"/>
        <item x="54"/>
        <item x="60"/>
        <item x="28"/>
        <item x="57"/>
        <item x="61"/>
        <item x="30"/>
        <item x="67"/>
        <item x="66"/>
        <item x="55"/>
        <item x="64"/>
        <item x="1"/>
        <item x="65"/>
        <item x="68"/>
        <item x="27"/>
        <item x="0"/>
        <item x="26"/>
        <item x="122"/>
        <item x="29"/>
        <item x="120"/>
        <item x="121"/>
        <item x="123"/>
        <item x="119"/>
        <item x="124"/>
        <item x="24"/>
        <item x="25"/>
        <item x="4"/>
        <item x="3"/>
        <item x="2"/>
        <item x="6"/>
        <item x="7"/>
        <item x="69"/>
        <item x="5"/>
        <item x="9"/>
        <item x="129"/>
        <item x="76"/>
        <item x="8"/>
        <item x="21"/>
        <item x="125"/>
        <item x="23"/>
        <item x="126"/>
        <item x="70"/>
        <item x="127"/>
        <item x="128"/>
        <item x="22"/>
        <item x="20"/>
        <item x="79"/>
        <item x="10"/>
        <item x="78"/>
        <item x="19"/>
        <item x="130"/>
        <item x="75"/>
        <item x="71"/>
        <item x="18"/>
        <item x="77"/>
        <item x="72"/>
        <item x="12"/>
        <item x="13"/>
        <item x="11"/>
        <item x="17"/>
        <item x="16"/>
        <item x="14"/>
        <item x="15"/>
        <item x="74"/>
        <item x="73"/>
        <item t="default"/>
      </items>
    </pivotField>
    <pivotField dataField="1" numFmtId="1" showAll="0">
      <items count="132">
        <item x="89"/>
        <item x="85"/>
        <item x="87"/>
        <item x="122"/>
        <item x="112"/>
        <item x="111"/>
        <item x="124"/>
        <item x="84"/>
        <item x="115"/>
        <item x="88"/>
        <item x="125"/>
        <item x="123"/>
        <item x="82"/>
        <item x="91"/>
        <item x="90"/>
        <item x="22"/>
        <item x="110"/>
        <item x="126"/>
        <item x="127"/>
        <item x="20"/>
        <item x="86"/>
        <item x="21"/>
        <item x="57"/>
        <item x="19"/>
        <item x="76"/>
        <item x="113"/>
        <item x="75"/>
        <item x="77"/>
        <item x="18"/>
        <item x="117"/>
        <item x="121"/>
        <item x="99"/>
        <item x="114"/>
        <item x="118"/>
        <item x="120"/>
        <item x="8"/>
        <item x="16"/>
        <item x="15"/>
        <item x="109"/>
        <item x="98"/>
        <item x="105"/>
        <item x="58"/>
        <item x="10"/>
        <item x="13"/>
        <item x="41"/>
        <item x="17"/>
        <item x="74"/>
        <item x="14"/>
        <item x="119"/>
        <item x="40"/>
        <item x="108"/>
        <item x="1"/>
        <item x="12"/>
        <item x="116"/>
        <item x="106"/>
        <item x="0"/>
        <item x="71"/>
        <item x="2"/>
        <item x="100"/>
        <item x="72"/>
        <item x="83"/>
        <item x="9"/>
        <item x="28"/>
        <item x="101"/>
        <item x="7"/>
        <item x="11"/>
        <item x="26"/>
        <item x="39"/>
        <item x="102"/>
        <item x="56"/>
        <item x="38"/>
        <item x="25"/>
        <item x="6"/>
        <item x="37"/>
        <item x="59"/>
        <item x="53"/>
        <item x="34"/>
        <item x="30"/>
        <item x="33"/>
        <item x="73"/>
        <item x="32"/>
        <item x="24"/>
        <item x="42"/>
        <item x="31"/>
        <item x="81"/>
        <item x="70"/>
        <item x="129"/>
        <item x="45"/>
        <item x="4"/>
        <item x="78"/>
        <item x="50"/>
        <item x="27"/>
        <item x="52"/>
        <item x="29"/>
        <item x="128"/>
        <item x="96"/>
        <item x="47"/>
        <item x="46"/>
        <item x="107"/>
        <item x="69"/>
        <item x="5"/>
        <item x="95"/>
        <item x="51"/>
        <item x="130"/>
        <item x="103"/>
        <item x="97"/>
        <item x="35"/>
        <item x="80"/>
        <item x="43"/>
        <item x="44"/>
        <item x="36"/>
        <item x="93"/>
        <item x="48"/>
        <item x="92"/>
        <item x="3"/>
        <item x="23"/>
        <item x="94"/>
        <item x="55"/>
        <item x="79"/>
        <item x="49"/>
        <item x="104"/>
        <item x="54"/>
        <item x="68"/>
        <item x="60"/>
        <item x="62"/>
        <item x="61"/>
        <item x="63"/>
        <item x="64"/>
        <item x="67"/>
        <item x="66"/>
        <item x="65"/>
        <item t="default"/>
      </items>
    </pivotField>
    <pivotField dataField="1" numFmtI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6">
    <i>
      <x v="1"/>
    </i>
    <i>
      <x v="2"/>
    </i>
    <i>
      <x v="3"/>
    </i>
    <i>
      <x v="4"/>
    </i>
    <i>
      <x v="5"/>
    </i>
    <i t="grand">
      <x/>
    </i>
  </rowItems>
  <colFields count="1">
    <field x="-2"/>
  </colFields>
  <colItems count="4">
    <i>
      <x/>
    </i>
    <i i="1">
      <x v="1"/>
    </i>
    <i i="2">
      <x v="2"/>
    </i>
    <i i="3">
      <x v="3"/>
    </i>
  </colItems>
  <dataFields count="4">
    <dataField name="Sum of Gold reserves" fld="2" baseField="0" baseItem="0" numFmtId="1"/>
    <dataField name="Sum of Total SBP Reserves" fld="3" baseField="0" baseItem="0" numFmtId="1"/>
    <dataField name="Sum of Total Banks Reserves" fld="4" baseField="0" baseItem="0" numFmtId="1"/>
    <dataField name="Sum of Total Reserves" fld="5" baseField="0" baseItem="0" numFmtId="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thisYear" evalOrder="-1" id="1">
      <autoFilter ref="A1">
        <filterColumn colId="0">
          <dynamicFilter type="thisYear" val="46023" maxVal="4638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7A93BD-34DF-4E08-B6FF-9E4CEF060CB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4"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showAll="0"/>
    <pivotField numFmtId="1" showAll="0">
      <items count="131">
        <item x="4"/>
        <item x="5"/>
        <item x="0"/>
        <item x="6"/>
        <item x="2"/>
        <item x="1"/>
        <item x="3"/>
        <item x="17"/>
        <item x="16"/>
        <item x="38"/>
        <item x="37"/>
        <item x="10"/>
        <item x="18"/>
        <item x="39"/>
        <item x="40"/>
        <item x="36"/>
        <item x="7"/>
        <item x="8"/>
        <item x="23"/>
        <item x="20"/>
        <item x="35"/>
        <item x="19"/>
        <item x="22"/>
        <item x="21"/>
        <item x="24"/>
        <item x="27"/>
        <item x="15"/>
        <item x="28"/>
        <item x="41"/>
        <item x="26"/>
        <item x="44"/>
        <item x="9"/>
        <item x="29"/>
        <item x="45"/>
        <item x="34"/>
        <item x="13"/>
        <item x="25"/>
        <item x="33"/>
        <item x="31"/>
        <item x="11"/>
        <item x="43"/>
        <item x="14"/>
        <item x="32"/>
        <item x="42"/>
        <item x="12"/>
        <item x="30"/>
        <item x="46"/>
        <item x="47"/>
        <item x="51"/>
        <item x="49"/>
        <item x="50"/>
        <item x="52"/>
        <item x="48"/>
        <item x="53"/>
        <item x="55"/>
        <item x="54"/>
        <item x="86"/>
        <item x="85"/>
        <item x="67"/>
        <item x="56"/>
        <item x="84"/>
        <item x="57"/>
        <item x="66"/>
        <item x="73"/>
        <item x="83"/>
        <item x="87"/>
        <item x="63"/>
        <item x="70"/>
        <item x="68"/>
        <item x="58"/>
        <item x="74"/>
        <item x="77"/>
        <item x="75"/>
        <item x="88"/>
        <item x="72"/>
        <item x="82"/>
        <item x="76"/>
        <item x="90"/>
        <item x="71"/>
        <item x="81"/>
        <item x="65"/>
        <item x="97"/>
        <item x="62"/>
        <item x="61"/>
        <item x="64"/>
        <item x="69"/>
        <item x="78"/>
        <item x="80"/>
        <item x="94"/>
        <item x="89"/>
        <item x="79"/>
        <item x="96"/>
        <item x="60"/>
        <item x="93"/>
        <item x="59"/>
        <item x="95"/>
        <item x="91"/>
        <item x="92"/>
        <item x="98"/>
        <item x="99"/>
        <item x="102"/>
        <item x="101"/>
        <item x="100"/>
        <item x="103"/>
        <item x="104"/>
        <item x="106"/>
        <item x="105"/>
        <item x="107"/>
        <item x="108"/>
        <item x="112"/>
        <item x="109"/>
        <item x="111"/>
        <item x="110"/>
        <item x="113"/>
        <item x="114"/>
        <item x="115"/>
        <item x="117"/>
        <item x="118"/>
        <item x="119"/>
        <item x="116"/>
        <item x="120"/>
        <item x="121"/>
        <item x="122"/>
        <item x="123"/>
        <item x="124"/>
        <item x="129"/>
        <item x="127"/>
        <item x="128"/>
        <item x="125"/>
        <item x="126"/>
        <item t="default"/>
      </items>
    </pivotField>
    <pivotField numFmtId="1" showAll="0"/>
    <pivotField numFmtId="1" showAll="0"/>
    <pivotField numFmtId="1" showAll="0"/>
    <pivotField dataField="1" showAll="0">
      <items count="132">
        <item x="130"/>
        <item x="89"/>
        <item x="79"/>
        <item x="88"/>
        <item x="83"/>
        <item x="55"/>
        <item x="44"/>
        <item x="33"/>
        <item x="81"/>
        <item x="57"/>
        <item x="37"/>
        <item x="74"/>
        <item x="93"/>
        <item x="23"/>
        <item x="87"/>
        <item x="29"/>
        <item x="80"/>
        <item x="38"/>
        <item x="45"/>
        <item x="97"/>
        <item x="27"/>
        <item x="75"/>
        <item x="85"/>
        <item x="49"/>
        <item x="73"/>
        <item x="17"/>
        <item x="25"/>
        <item x="107"/>
        <item x="116"/>
        <item x="31"/>
        <item x="46"/>
        <item x="40"/>
        <item x="61"/>
        <item x="5"/>
        <item x="19"/>
        <item x="121"/>
        <item x="36"/>
        <item x="30"/>
        <item x="114"/>
        <item x="77"/>
        <item x="128"/>
        <item x="15"/>
        <item x="96"/>
        <item x="65"/>
        <item x="98"/>
        <item x="99"/>
        <item x="113"/>
        <item x="119"/>
        <item x="20"/>
        <item x="18"/>
        <item x="32"/>
        <item x="3"/>
        <item x="39"/>
        <item x="115"/>
        <item x="26"/>
        <item x="11"/>
        <item x="101"/>
        <item x="66"/>
        <item x="120"/>
        <item x="123"/>
        <item x="16"/>
        <item x="8"/>
        <item x="12"/>
        <item x="24"/>
        <item x="6"/>
        <item x="112"/>
        <item x="67"/>
        <item x="2"/>
        <item x="78"/>
        <item x="105"/>
        <item x="42"/>
        <item x="62"/>
        <item x="125"/>
        <item x="108"/>
        <item x="126"/>
        <item x="102"/>
        <item x="60"/>
        <item x="21"/>
        <item x="14"/>
        <item x="13"/>
        <item x="69"/>
        <item x="64"/>
        <item x="84"/>
        <item x="7"/>
        <item x="110"/>
        <item x="103"/>
        <item x="50"/>
        <item x="71"/>
        <item x="54"/>
        <item x="9"/>
        <item x="92"/>
        <item x="122"/>
        <item x="22"/>
        <item x="34"/>
        <item x="104"/>
        <item x="127"/>
        <item x="35"/>
        <item x="48"/>
        <item x="70"/>
        <item x="106"/>
        <item x="86"/>
        <item x="111"/>
        <item x="59"/>
        <item x="51"/>
        <item x="63"/>
        <item x="4"/>
        <item x="47"/>
        <item x="129"/>
        <item x="56"/>
        <item x="82"/>
        <item x="109"/>
        <item x="10"/>
        <item x="94"/>
        <item x="76"/>
        <item x="124"/>
        <item x="53"/>
        <item x="117"/>
        <item x="68"/>
        <item x="28"/>
        <item x="1"/>
        <item x="72"/>
        <item x="41"/>
        <item x="100"/>
        <item x="90"/>
        <item x="58"/>
        <item x="52"/>
        <item x="91"/>
        <item x="43"/>
        <item x="118"/>
        <item x="95"/>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MoM%" fld="6" baseField="0" baseItem="0" numFmtId="9"/>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4F7CFB-6065-44BF-9BCD-6381C25FE0E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4" showAll="0">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showAll="0"/>
    <pivotField numFmtId="1" showAll="0">
      <items count="131">
        <item x="4"/>
        <item x="5"/>
        <item x="0"/>
        <item x="6"/>
        <item x="2"/>
        <item x="1"/>
        <item x="3"/>
        <item x="17"/>
        <item x="16"/>
        <item x="38"/>
        <item x="37"/>
        <item x="10"/>
        <item x="18"/>
        <item x="39"/>
        <item x="40"/>
        <item x="36"/>
        <item x="7"/>
        <item x="8"/>
        <item x="23"/>
        <item x="20"/>
        <item x="35"/>
        <item x="19"/>
        <item x="22"/>
        <item x="21"/>
        <item x="24"/>
        <item x="27"/>
        <item x="15"/>
        <item x="28"/>
        <item x="41"/>
        <item x="26"/>
        <item x="44"/>
        <item x="9"/>
        <item x="29"/>
        <item x="45"/>
        <item x="34"/>
        <item x="13"/>
        <item x="25"/>
        <item x="33"/>
        <item x="31"/>
        <item x="11"/>
        <item x="43"/>
        <item x="14"/>
        <item x="32"/>
        <item x="42"/>
        <item x="12"/>
        <item x="30"/>
        <item x="46"/>
        <item x="47"/>
        <item x="51"/>
        <item x="49"/>
        <item x="50"/>
        <item x="52"/>
        <item x="48"/>
        <item x="53"/>
        <item x="55"/>
        <item x="54"/>
        <item x="86"/>
        <item x="85"/>
        <item x="67"/>
        <item x="56"/>
        <item x="84"/>
        <item x="57"/>
        <item x="66"/>
        <item x="73"/>
        <item x="83"/>
        <item x="87"/>
        <item x="63"/>
        <item x="70"/>
        <item x="68"/>
        <item x="58"/>
        <item x="74"/>
        <item x="77"/>
        <item x="75"/>
        <item x="88"/>
        <item x="72"/>
        <item x="82"/>
        <item x="76"/>
        <item x="90"/>
        <item x="71"/>
        <item x="81"/>
        <item x="65"/>
        <item x="97"/>
        <item x="62"/>
        <item x="61"/>
        <item x="64"/>
        <item x="69"/>
        <item x="78"/>
        <item x="80"/>
        <item x="94"/>
        <item x="89"/>
        <item x="79"/>
        <item x="96"/>
        <item x="60"/>
        <item x="93"/>
        <item x="59"/>
        <item x="95"/>
        <item x="91"/>
        <item x="92"/>
        <item x="98"/>
        <item x="99"/>
        <item x="102"/>
        <item x="101"/>
        <item x="100"/>
        <item x="103"/>
        <item x="104"/>
        <item x="106"/>
        <item x="105"/>
        <item x="107"/>
        <item x="108"/>
        <item x="112"/>
        <item x="109"/>
        <item x="111"/>
        <item x="110"/>
        <item x="113"/>
        <item x="114"/>
        <item x="115"/>
        <item x="117"/>
        <item x="118"/>
        <item x="119"/>
        <item x="116"/>
        <item x="120"/>
        <item x="121"/>
        <item x="122"/>
        <item x="123"/>
        <item x="124"/>
        <item x="129"/>
        <item x="127"/>
        <item x="128"/>
        <item x="125"/>
        <item x="126"/>
        <item t="default"/>
      </items>
    </pivotField>
    <pivotField numFmtId="1" showAll="0"/>
    <pivotField numFmtId="1" showAll="0"/>
    <pivotField numFmtId="1" showAll="0"/>
    <pivotField showAll="0">
      <items count="132">
        <item x="130"/>
        <item x="89"/>
        <item x="79"/>
        <item x="88"/>
        <item x="83"/>
        <item x="55"/>
        <item x="44"/>
        <item x="33"/>
        <item x="81"/>
        <item x="57"/>
        <item x="37"/>
        <item x="74"/>
        <item x="93"/>
        <item x="23"/>
        <item x="87"/>
        <item x="29"/>
        <item x="80"/>
        <item x="38"/>
        <item x="45"/>
        <item x="97"/>
        <item x="27"/>
        <item x="75"/>
        <item x="85"/>
        <item x="49"/>
        <item x="73"/>
        <item x="17"/>
        <item x="25"/>
        <item x="107"/>
        <item x="116"/>
        <item x="31"/>
        <item x="46"/>
        <item x="40"/>
        <item x="61"/>
        <item x="5"/>
        <item x="19"/>
        <item x="121"/>
        <item x="36"/>
        <item x="30"/>
        <item x="114"/>
        <item x="77"/>
        <item x="128"/>
        <item x="15"/>
        <item x="96"/>
        <item x="65"/>
        <item x="98"/>
        <item x="99"/>
        <item x="113"/>
        <item x="119"/>
        <item x="20"/>
        <item x="18"/>
        <item x="32"/>
        <item x="3"/>
        <item x="39"/>
        <item x="115"/>
        <item x="26"/>
        <item x="11"/>
        <item x="101"/>
        <item x="66"/>
        <item x="120"/>
        <item x="123"/>
        <item x="16"/>
        <item x="8"/>
        <item x="12"/>
        <item x="24"/>
        <item x="6"/>
        <item x="112"/>
        <item x="67"/>
        <item x="2"/>
        <item x="78"/>
        <item x="105"/>
        <item x="42"/>
        <item x="62"/>
        <item x="125"/>
        <item x="108"/>
        <item x="126"/>
        <item x="102"/>
        <item x="60"/>
        <item x="21"/>
        <item x="14"/>
        <item x="13"/>
        <item x="69"/>
        <item x="64"/>
        <item x="84"/>
        <item x="7"/>
        <item x="110"/>
        <item x="103"/>
        <item x="50"/>
        <item x="71"/>
        <item x="54"/>
        <item x="9"/>
        <item x="92"/>
        <item x="122"/>
        <item x="22"/>
        <item x="34"/>
        <item x="104"/>
        <item x="127"/>
        <item x="35"/>
        <item x="48"/>
        <item x="70"/>
        <item x="106"/>
        <item x="86"/>
        <item x="111"/>
        <item x="59"/>
        <item x="51"/>
        <item x="63"/>
        <item x="4"/>
        <item x="47"/>
        <item x="129"/>
        <item x="56"/>
        <item x="82"/>
        <item x="109"/>
        <item x="10"/>
        <item x="94"/>
        <item x="76"/>
        <item x="124"/>
        <item x="53"/>
        <item x="117"/>
        <item x="68"/>
        <item x="28"/>
        <item x="1"/>
        <item x="72"/>
        <item x="41"/>
        <item x="100"/>
        <item x="90"/>
        <item x="58"/>
        <item x="52"/>
        <item x="91"/>
        <item x="43"/>
        <item x="118"/>
        <item x="95"/>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YoY%" fld="7" baseField="0" baseItem="0"/>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DF5C63-E0C5-4148-979B-0B9868B1F147}" autoFormatId="16" applyNumberFormats="0" applyBorderFormats="0" applyFontFormats="0" applyPatternFormats="0" applyAlignmentFormats="0" applyWidthHeightFormats="0">
  <queryTableRefresh nextId="9" unboundColumnsRight="3">
    <queryTableFields count="8">
      <queryTableField id="1" name="Observation Date" tableColumnId="1"/>
      <queryTableField id="2" name="Unit" tableColumnId="2"/>
      <queryTableField id="3" name="Gold reserves" tableColumnId="3"/>
      <queryTableField id="4" name="Total SBP Reserves" tableColumnId="4"/>
      <queryTableField id="5" name="Total Banks Reserves" tableColumnId="5"/>
      <queryTableField id="6" dataBound="0"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bservation_Date" xr10:uid="{DDACB74C-0108-41ED-95D0-BB21FFF34DB0}" sourceName="Years (Observation Date)">
  <pivotTables>
    <pivotTable tabId="4" name="PivotTable1"/>
  </pivotTables>
  <data>
    <tabular pivotCacheId="85755120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bservation_Date1" xr10:uid="{7080D060-21C1-4225-B157-C19AE89BBEFE}" sourceName="Years (Observation Date)">
  <pivotTables>
    <pivotTable tabId="6" name="PivotTable1"/>
  </pivotTables>
  <data>
    <tabular pivotCacheId="857551207">
      <items count="14">
        <i x="2" s="1"/>
        <i x="3" s="1"/>
        <i x="4" s="1"/>
        <i x="5" s="1"/>
        <i x="6" s="1"/>
        <i x="7" s="1"/>
        <i x="8" s="1"/>
        <i x="9" s="1"/>
        <i x="10" s="1"/>
        <i x="11" s="1"/>
        <i x="12" s="1"/>
        <i x="0" s="1" nd="1"/>
        <i x="13"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bservation Date) 1" xr10:uid="{3161E915-2D3A-4E7B-9702-FC1A492CFCB0}" cache="Slicer_Years__Observation_Date" caption="Years (Observation Date)" rowHeight="251883"/>
  <slicer name="Years (Observation Date) 3" xr10:uid="{BBC78681-52E9-4F73-9423-60F24191B45D}" cache="Slicer_Years__Observation_Date1" caption="Years (Observation Dat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bservation Date)" xr10:uid="{CDC46F15-F761-4B6A-93CB-71F761F6CF3C}" cache="Slicer_Years__Observation_Date" caption="Years (Observation Dat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bservation Date) 2" xr10:uid="{7E3F4D41-15E9-4CF5-847B-9FE9DA463D88}" cache="Slicer_Years__Observation_Date1" caption="Years (Observation D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574764-7962-41D6-BA23-F352E68F5B34}" name="Gold_ForeignExchangeRateDataset" displayName="Gold_ForeignExchangeRateDataset" ref="A1:H132" tableType="queryTable" totalsRowShown="0">
  <autoFilter ref="A1:H132" xr:uid="{B4574764-7962-41D6-BA23-F352E68F5B34}"/>
  <tableColumns count="8">
    <tableColumn id="1" xr3:uid="{2C5CECF6-7E73-4882-B1BA-5B42271D70EF}" uniqueName="1" name="Observation Date" queryTableFieldId="1" dataDxfId="10"/>
    <tableColumn id="2" xr3:uid="{E53B7AB1-5600-4313-8E1A-467E6F0AAD33}" uniqueName="2" name="Unit" queryTableFieldId="2" dataDxfId="9"/>
    <tableColumn id="3" xr3:uid="{EE720AC4-C3EB-4E35-B04C-102A7689AB3E}" uniqueName="3" name="Gold reserves" queryTableFieldId="3" dataDxfId="8"/>
    <tableColumn id="4" xr3:uid="{85EDB6E7-E5F3-4E96-A000-07055BE5CA79}" uniqueName="4" name="Total SBP Reserves" queryTableFieldId="4" dataDxfId="7"/>
    <tableColumn id="5" xr3:uid="{DCAF95C3-C2C8-4502-9A4D-89C07F2E0F2D}" uniqueName="5" name="Total Banks Reserves" queryTableFieldId="5" dataDxfId="6"/>
    <tableColumn id="6" xr3:uid="{72DC2DB0-9F28-468B-9EF9-3CF5A947B4FD}" uniqueName="6" name="Total Reserves" queryTableFieldId="6" dataDxfId="5">
      <calculatedColumnFormula>Gold_ForeignExchangeRateDataset[[#This Row],[Total SBP Reserves]]+Gold_ForeignExchangeRateDataset[[#This Row],[Total Banks Reserves]]</calculatedColumnFormula>
    </tableColumn>
    <tableColumn id="7" xr3:uid="{D1B65296-75E8-40A7-B95D-D11971C2FB25}" uniqueName="7" name="MoM%" queryTableFieldId="7" dataCellStyle="Percent">
      <calculatedColumnFormula>(F3-F2)/F2</calculatedColumnFormula>
    </tableColumn>
    <tableColumn id="8" xr3:uid="{FCD648E4-1823-4B81-AFD4-4E1D49D3CA42}" uniqueName="8" name="YoY%" queryTableFieldId="8" dataCellStyle="Percent">
      <calculatedColumnFormula>(F14-F2)/F2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bservation_Date" xr10:uid="{4A0C7F5A-0A83-4599-8CE1-EB0F47329C3F}" sourceName="Observation Date">
  <pivotTables>
    <pivotTable tabId="3" name="PivotTable1"/>
  </pivotTables>
  <state minimalRefreshVersion="6" lastRefreshVersion="6" pivotCacheId="857551207" filterType="unknown">
    <bounds startDate="201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bservation Date 1" xr10:uid="{D9D193D0-BE67-44A9-854C-D2839EC64AF1}" cache="NativeTimeline_Observation_Date" caption="Observation Date" level="2" selectionLevel="2" scrollPosition="2017-08-1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bservation Date" xr10:uid="{5010AB28-328C-471F-ACCD-7EEFE0B7C280}" cache="NativeTimeline_Observation_Date" caption="Observation Date" level="2" selectionLevel="2" scrollPosition="2017-08-14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BE345-41C7-4B79-AEA7-A85747198983}">
  <dimension ref="B2:K2"/>
  <sheetViews>
    <sheetView showGridLines="0" tabSelected="1" zoomScale="57" workbookViewId="0">
      <selection activeCell="AD17" sqref="AD17"/>
    </sheetView>
  </sheetViews>
  <sheetFormatPr defaultRowHeight="14.5"/>
  <sheetData>
    <row r="2" spans="2:11">
      <c r="B2" s="4"/>
      <c r="E2" s="6"/>
      <c r="H2" s="4"/>
      <c r="K2"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AF0CA-BCB3-4F35-8BD7-3DF8111B58C6}">
  <dimension ref="A3:D16"/>
  <sheetViews>
    <sheetView zoomScale="60" workbookViewId="0">
      <selection activeCell="D10" sqref="D10"/>
    </sheetView>
  </sheetViews>
  <sheetFormatPr defaultRowHeight="14.5"/>
  <cols>
    <col min="1" max="1" width="12.453125" bestFit="1" customWidth="1"/>
    <col min="2" max="2" width="22.90625" bestFit="1" customWidth="1"/>
    <col min="3" max="3" width="24.7265625" bestFit="1" customWidth="1"/>
    <col min="4" max="5" width="19.1796875" bestFit="1" customWidth="1"/>
    <col min="6" max="13" width="5.81640625" bestFit="1" customWidth="1"/>
    <col min="14" max="14" width="10.36328125" bestFit="1" customWidth="1"/>
    <col min="15" max="129" width="4.81640625" bestFit="1" customWidth="1"/>
    <col min="130" max="131" width="5.81640625" bestFit="1" customWidth="1"/>
    <col min="132" max="132" width="10.36328125" bestFit="1" customWidth="1"/>
  </cols>
  <sheetData>
    <row r="3" spans="1:4">
      <c r="A3" s="5" t="s">
        <v>16</v>
      </c>
      <c r="B3" t="s">
        <v>10</v>
      </c>
      <c r="C3" t="s">
        <v>11</v>
      </c>
      <c r="D3" t="s">
        <v>12</v>
      </c>
    </row>
    <row r="4" spans="1:4">
      <c r="A4" s="7" t="s">
        <v>18</v>
      </c>
      <c r="B4" s="4">
        <v>88249</v>
      </c>
      <c r="C4" s="4">
        <v>16373.3</v>
      </c>
      <c r="D4" s="4">
        <v>104622.29999999999</v>
      </c>
    </row>
    <row r="5" spans="1:4">
      <c r="A5" s="7" t="s">
        <v>19</v>
      </c>
      <c r="B5" s="4">
        <v>208711.09999999998</v>
      </c>
      <c r="C5" s="4">
        <v>29993.200000000001</v>
      </c>
      <c r="D5" s="4">
        <v>238704.3</v>
      </c>
    </row>
    <row r="6" spans="1:4">
      <c r="A6" s="7" t="s">
        <v>20</v>
      </c>
      <c r="B6" s="4">
        <v>184619.3</v>
      </c>
      <c r="C6" s="4">
        <v>30427.7</v>
      </c>
      <c r="D6" s="4">
        <v>215046.99999999997</v>
      </c>
    </row>
    <row r="7" spans="1:4">
      <c r="A7" s="7" t="s">
        <v>21</v>
      </c>
      <c r="B7" s="4">
        <v>121573.40000000002</v>
      </c>
      <c r="C7" s="4">
        <v>32472.299999999996</v>
      </c>
      <c r="D7" s="4">
        <v>154045.69999999998</v>
      </c>
    </row>
    <row r="8" spans="1:4">
      <c r="A8" s="7" t="s">
        <v>22</v>
      </c>
      <c r="B8" s="4">
        <v>108984.70000000001</v>
      </c>
      <c r="C8" s="4">
        <v>34593.800000000003</v>
      </c>
      <c r="D8" s="4">
        <v>143578.5</v>
      </c>
    </row>
    <row r="9" spans="1:4">
      <c r="A9" s="7" t="s">
        <v>23</v>
      </c>
      <c r="B9" s="4">
        <v>150790.29999999999</v>
      </c>
      <c r="C9" s="4">
        <v>37441.1</v>
      </c>
      <c r="D9" s="4">
        <v>188231.4</v>
      </c>
    </row>
    <row r="10" spans="1:4">
      <c r="A10" s="7" t="s">
        <v>24</v>
      </c>
      <c r="B10" s="4">
        <v>198711.1</v>
      </c>
      <c r="C10" s="4">
        <v>33579</v>
      </c>
      <c r="D10" s="4">
        <v>232290.09999999998</v>
      </c>
    </row>
    <row r="11" spans="1:4">
      <c r="A11" s="7" t="s">
        <v>25</v>
      </c>
      <c r="B11" s="4">
        <v>123571.22000000002</v>
      </c>
      <c r="C11" s="4">
        <v>28079.339999999997</v>
      </c>
      <c r="D11" s="4">
        <v>151650.55999999997</v>
      </c>
    </row>
    <row r="12" spans="1:4">
      <c r="A12" s="7" t="s">
        <v>26</v>
      </c>
      <c r="B12" s="4">
        <v>71126.686947000009</v>
      </c>
      <c r="C12" s="4">
        <v>31897.798623999999</v>
      </c>
      <c r="D12" s="4">
        <v>103024.485571</v>
      </c>
    </row>
    <row r="13" spans="1:4">
      <c r="A13" s="7" t="s">
        <v>27</v>
      </c>
      <c r="B13" s="4">
        <v>117451.480853</v>
      </c>
      <c r="C13" s="4">
        <v>29882.068484000003</v>
      </c>
      <c r="D13" s="4">
        <v>147333.54933699997</v>
      </c>
    </row>
    <row r="14" spans="1:4">
      <c r="A14" s="7" t="s">
        <v>28</v>
      </c>
      <c r="B14" s="4">
        <v>158930.18430999998</v>
      </c>
      <c r="C14" s="4">
        <v>26890.107181999996</v>
      </c>
      <c r="D14" s="4">
        <v>185820.29149199999</v>
      </c>
    </row>
    <row r="15" spans="1:4">
      <c r="A15" s="7" t="s">
        <v>29</v>
      </c>
      <c r="B15" s="4">
        <v>82433.751879999996</v>
      </c>
      <c r="C15" s="4">
        <v>12927.237258000001</v>
      </c>
      <c r="D15" s="4">
        <v>95360.98913799999</v>
      </c>
    </row>
    <row r="16" spans="1:4">
      <c r="A16" s="7" t="s">
        <v>17</v>
      </c>
      <c r="B16" s="4">
        <v>1615152.2239899999</v>
      </c>
      <c r="C16" s="4">
        <v>344556.95154799998</v>
      </c>
      <c r="D16" s="4">
        <v>1959709.1755379997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71B5-F448-42BB-9012-0DF50F794E7C}">
  <dimension ref="A3:E9"/>
  <sheetViews>
    <sheetView zoomScale="43" workbookViewId="0">
      <selection activeCell="C6" sqref="C6"/>
    </sheetView>
  </sheetViews>
  <sheetFormatPr defaultRowHeight="14.5"/>
  <cols>
    <col min="1" max="1" width="12.453125" bestFit="1" customWidth="1"/>
    <col min="2" max="2" width="18.453125" bestFit="1" customWidth="1"/>
    <col min="3" max="3" width="22.90625" bestFit="1" customWidth="1"/>
    <col min="4" max="4" width="24.7265625" bestFit="1" customWidth="1"/>
    <col min="5" max="5" width="19.1796875" bestFit="1" customWidth="1"/>
    <col min="6" max="13" width="5.81640625" bestFit="1" customWidth="1"/>
    <col min="14" max="14" width="10.36328125" bestFit="1" customWidth="1"/>
    <col min="15" max="129" width="4.81640625" bestFit="1" customWidth="1"/>
    <col min="130" max="131" width="5.81640625" bestFit="1" customWidth="1"/>
    <col min="132" max="132" width="10.36328125" bestFit="1" customWidth="1"/>
  </cols>
  <sheetData>
    <row r="3" spans="1:5">
      <c r="A3" s="5" t="s">
        <v>16</v>
      </c>
      <c r="B3" t="s">
        <v>13</v>
      </c>
      <c r="C3" t="s">
        <v>10</v>
      </c>
      <c r="D3" t="s">
        <v>11</v>
      </c>
      <c r="E3" t="s">
        <v>12</v>
      </c>
    </row>
    <row r="4" spans="1:5">
      <c r="A4" s="7" t="s">
        <v>30</v>
      </c>
      <c r="B4" s="4">
        <v>10374.84146</v>
      </c>
      <c r="C4" s="4">
        <v>16255.663769999999</v>
      </c>
      <c r="D4" s="4">
        <v>2180.1859840000002</v>
      </c>
      <c r="E4" s="4">
        <v>18435.849753999999</v>
      </c>
    </row>
    <row r="5" spans="1:5">
      <c r="A5" s="7" t="s">
        <v>31</v>
      </c>
      <c r="B5" s="4">
        <v>10880.61</v>
      </c>
      <c r="C5" s="4">
        <v>16437.71731</v>
      </c>
      <c r="D5" s="4">
        <v>2196.8139120000001</v>
      </c>
      <c r="E5" s="4">
        <v>18634.531222000001</v>
      </c>
    </row>
    <row r="6" spans="1:5">
      <c r="A6" s="7" t="s">
        <v>32</v>
      </c>
      <c r="B6" s="4">
        <v>9601.4532650000001</v>
      </c>
      <c r="C6" s="4">
        <v>16493.640800000001</v>
      </c>
      <c r="D6" s="4">
        <v>2848.9473619999999</v>
      </c>
      <c r="E6" s="4">
        <v>19342.588162</v>
      </c>
    </row>
    <row r="7" spans="1:5">
      <c r="A7" s="7" t="s">
        <v>33</v>
      </c>
      <c r="B7" s="4">
        <v>9607.7000000000007</v>
      </c>
      <c r="C7" s="4">
        <v>15976.87</v>
      </c>
      <c r="D7" s="4">
        <v>2782.45</v>
      </c>
      <c r="E7" s="4">
        <v>18759.32</v>
      </c>
    </row>
    <row r="8" spans="1:5">
      <c r="A8" s="7" t="s">
        <v>34</v>
      </c>
      <c r="B8" s="4">
        <v>9472.17</v>
      </c>
      <c r="C8" s="4">
        <v>17269.86</v>
      </c>
      <c r="D8" s="4">
        <v>2918.84</v>
      </c>
      <c r="E8" s="4">
        <v>20188.7</v>
      </c>
    </row>
    <row r="9" spans="1:5">
      <c r="A9" s="7" t="s">
        <v>17</v>
      </c>
      <c r="B9" s="4">
        <v>49936.774724999996</v>
      </c>
      <c r="C9" s="4">
        <v>82433.751879999996</v>
      </c>
      <c r="D9" s="4">
        <v>12927.237258000001</v>
      </c>
      <c r="E9" s="4">
        <v>95360.98913799999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5F6F-974B-44F3-A3F4-EF8527F79F56}">
  <dimension ref="A3:B16"/>
  <sheetViews>
    <sheetView zoomScale="78" workbookViewId="0">
      <selection activeCell="I10" sqref="I10"/>
    </sheetView>
  </sheetViews>
  <sheetFormatPr defaultRowHeight="14.5"/>
  <cols>
    <col min="1" max="2" width="12.453125" bestFit="1" customWidth="1"/>
    <col min="3" max="131" width="15.6328125" bestFit="1" customWidth="1"/>
    <col min="132" max="132" width="10.36328125" bestFit="1" customWidth="1"/>
  </cols>
  <sheetData>
    <row r="3" spans="1:2">
      <c r="A3" s="5" t="s">
        <v>16</v>
      </c>
      <c r="B3" t="s">
        <v>15</v>
      </c>
    </row>
    <row r="4" spans="1:2">
      <c r="A4" s="7" t="s">
        <v>18</v>
      </c>
      <c r="B4" s="8">
        <v>0.13167988197939381</v>
      </c>
    </row>
    <row r="5" spans="1:2">
      <c r="A5" s="7" t="s">
        <v>19</v>
      </c>
      <c r="B5" s="8">
        <v>9.5054591025001633E-2</v>
      </c>
    </row>
    <row r="6" spans="1:2">
      <c r="A6" s="7" t="s">
        <v>20</v>
      </c>
      <c r="B6" s="8">
        <v>-0.21024118123249991</v>
      </c>
    </row>
    <row r="7" spans="1:2">
      <c r="A7" s="7" t="s">
        <v>21</v>
      </c>
      <c r="B7" s="8">
        <v>-0.29565277578855687</v>
      </c>
    </row>
    <row r="8" spans="1:2">
      <c r="A8" s="7" t="s">
        <v>22</v>
      </c>
      <c r="B8" s="8">
        <v>0.38938266585860437</v>
      </c>
    </row>
    <row r="9" spans="1:2">
      <c r="A9" s="7" t="s">
        <v>23</v>
      </c>
      <c r="B9" s="8">
        <v>0.10294893783751968</v>
      </c>
    </row>
    <row r="10" spans="1:2">
      <c r="A10" s="7" t="s">
        <v>24</v>
      </c>
      <c r="B10" s="8">
        <v>0.16962987481772218</v>
      </c>
    </row>
    <row r="11" spans="1:2">
      <c r="A11" s="7" t="s">
        <v>25</v>
      </c>
      <c r="B11" s="8">
        <v>-1.132341981886428</v>
      </c>
    </row>
    <row r="12" spans="1:2">
      <c r="A12" s="7" t="s">
        <v>26</v>
      </c>
      <c r="B12" s="8">
        <v>0.8515267613256845</v>
      </c>
    </row>
    <row r="13" spans="1:2">
      <c r="A13" s="7" t="s">
        <v>27</v>
      </c>
      <c r="B13" s="8">
        <v>0.25116171525243697</v>
      </c>
    </row>
    <row r="14" spans="1:2">
      <c r="A14" s="7" t="s">
        <v>28</v>
      </c>
      <c r="B14" s="8">
        <v>0.32024286945538749</v>
      </c>
    </row>
    <row r="15" spans="1:2">
      <c r="A15" s="7" t="s">
        <v>29</v>
      </c>
      <c r="B15" s="8">
        <v>-0.90518493838740643</v>
      </c>
    </row>
    <row r="16" spans="1:2">
      <c r="A16" s="7" t="s">
        <v>17</v>
      </c>
      <c r="B16" s="8">
        <v>-0.23179357974314052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25B31-E171-4E40-B5C8-5C535DF3A3A8}">
  <dimension ref="A3:B16"/>
  <sheetViews>
    <sheetView zoomScale="73" workbookViewId="0">
      <selection activeCell="H9" sqref="H9"/>
    </sheetView>
  </sheetViews>
  <sheetFormatPr defaultRowHeight="14.5"/>
  <cols>
    <col min="1" max="1" width="12.453125" bestFit="1" customWidth="1"/>
    <col min="2" max="3" width="11.7265625" bestFit="1" customWidth="1"/>
    <col min="4" max="131" width="15.6328125" bestFit="1" customWidth="1"/>
    <col min="132" max="132" width="10.36328125" bestFit="1" customWidth="1"/>
  </cols>
  <sheetData>
    <row r="3" spans="1:2">
      <c r="A3" s="5" t="s">
        <v>16</v>
      </c>
      <c r="B3" t="s">
        <v>14</v>
      </c>
    </row>
    <row r="4" spans="1:2">
      <c r="A4" s="7" t="s">
        <v>18</v>
      </c>
      <c r="B4" s="8"/>
    </row>
    <row r="5" spans="1:2">
      <c r="A5" s="7" t="s">
        <v>19</v>
      </c>
      <c r="B5" s="8">
        <v>1.2135872625989963</v>
      </c>
    </row>
    <row r="6" spans="1:2">
      <c r="A6" s="7" t="s">
        <v>20</v>
      </c>
      <c r="B6" s="8">
        <v>-1.1095752864938562</v>
      </c>
    </row>
    <row r="7" spans="1:2">
      <c r="A7" s="7" t="s">
        <v>21</v>
      </c>
      <c r="B7" s="8">
        <v>-3.4318238726194976</v>
      </c>
    </row>
    <row r="8" spans="1:2">
      <c r="A8" s="7" t="s">
        <v>22</v>
      </c>
      <c r="B8" s="8">
        <v>-0.54042909309453657</v>
      </c>
    </row>
    <row r="9" spans="1:2">
      <c r="A9" s="7" t="s">
        <v>23</v>
      </c>
      <c r="B9" s="8">
        <v>3.823851918838526</v>
      </c>
    </row>
    <row r="10" spans="1:2">
      <c r="A10" s="7" t="s">
        <v>24</v>
      </c>
      <c r="B10" s="8">
        <v>2.8574418360704907</v>
      </c>
    </row>
    <row r="11" spans="1:2">
      <c r="A11" s="7" t="s">
        <v>25</v>
      </c>
      <c r="B11" s="8">
        <v>-3.9338444694886845</v>
      </c>
    </row>
    <row r="12" spans="1:2">
      <c r="A12" s="7" t="s">
        <v>26</v>
      </c>
      <c r="B12" s="8">
        <v>-2.8156793397914566</v>
      </c>
    </row>
    <row r="13" spans="1:2">
      <c r="A13" s="7" t="s">
        <v>27</v>
      </c>
      <c r="B13" s="8">
        <v>5.8876806855420938</v>
      </c>
    </row>
    <row r="14" spans="1:2">
      <c r="A14" s="7" t="s">
        <v>28</v>
      </c>
      <c r="B14" s="8">
        <v>3.129966642200535</v>
      </c>
    </row>
    <row r="15" spans="1:2">
      <c r="A15" s="7" t="s">
        <v>29</v>
      </c>
      <c r="B15" s="8">
        <v>2.0988887616923617</v>
      </c>
    </row>
    <row r="16" spans="1:2">
      <c r="A16" s="7" t="s">
        <v>17</v>
      </c>
      <c r="B16" s="8">
        <v>7.1800650454549722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1339-5A96-48FA-93D8-F8A5FF42AE5A}">
  <dimension ref="A1:H132"/>
  <sheetViews>
    <sheetView zoomScale="58" workbookViewId="0">
      <selection activeCell="J17" sqref="J17"/>
    </sheetView>
  </sheetViews>
  <sheetFormatPr defaultRowHeight="14.5"/>
  <cols>
    <col min="1" max="1" width="17.54296875" bestFit="1" customWidth="1"/>
    <col min="2" max="2" width="10" bestFit="1" customWidth="1"/>
    <col min="3" max="3" width="14.36328125" bestFit="1" customWidth="1"/>
    <col min="4" max="4" width="18.81640625" bestFit="1" customWidth="1"/>
    <col min="5" max="5" width="20.7265625" bestFit="1" customWidth="1"/>
    <col min="6" max="6" width="15.1796875" bestFit="1" customWidth="1"/>
    <col min="7" max="7" width="8.7265625" customWidth="1"/>
  </cols>
  <sheetData>
    <row r="1" spans="1:8">
      <c r="A1" t="s">
        <v>0</v>
      </c>
      <c r="B1" t="s">
        <v>1</v>
      </c>
      <c r="C1" t="s">
        <v>2</v>
      </c>
      <c r="D1" t="s">
        <v>3</v>
      </c>
      <c r="E1" t="s">
        <v>4</v>
      </c>
      <c r="F1" t="s">
        <v>6</v>
      </c>
      <c r="G1" t="s">
        <v>7</v>
      </c>
      <c r="H1" t="s">
        <v>8</v>
      </c>
    </row>
    <row r="2" spans="1:8">
      <c r="A2" s="1">
        <v>42216</v>
      </c>
      <c r="B2" s="2" t="s">
        <v>5</v>
      </c>
      <c r="C2" s="4">
        <v>2277.8000000000002</v>
      </c>
      <c r="D2" s="4">
        <v>13785.8</v>
      </c>
      <c r="E2" s="4">
        <v>2567</v>
      </c>
      <c r="F2" s="4">
        <f>Gold_ForeignExchangeRateDataset[[#This Row],[Total SBP Reserves]]+Gold_ForeignExchangeRateDataset[[#This Row],[Total Banks Reserves]]</f>
        <v>16352.8</v>
      </c>
      <c r="G2" s="3" t="s">
        <v>9</v>
      </c>
      <c r="H2" s="3"/>
    </row>
    <row r="3" spans="1:8">
      <c r="A3" s="1">
        <v>42247</v>
      </c>
      <c r="B3" s="2" t="s">
        <v>5</v>
      </c>
      <c r="C3" s="4">
        <v>2353.6999999999998</v>
      </c>
      <c r="D3" s="4">
        <v>13508.8</v>
      </c>
      <c r="E3" s="4">
        <v>2526.6999999999998</v>
      </c>
      <c r="F3" s="4">
        <f>Gold_ForeignExchangeRateDataset[[#This Row],[Total SBP Reserves]]+Gold_ForeignExchangeRateDataset[[#This Row],[Total Banks Reserves]]</f>
        <v>16035.5</v>
      </c>
      <c r="G3" s="3">
        <f t="shared" ref="G2:G65" si="0">(F4-F3)/F3</f>
        <v>0.11362913535592895</v>
      </c>
      <c r="H3" s="3"/>
    </row>
    <row r="4" spans="1:8">
      <c r="A4" s="1">
        <v>42277</v>
      </c>
      <c r="B4" s="2" t="s">
        <v>5</v>
      </c>
      <c r="C4" s="4">
        <v>2310.1</v>
      </c>
      <c r="D4" s="4">
        <v>15286.1</v>
      </c>
      <c r="E4" s="4">
        <v>2571.5</v>
      </c>
      <c r="F4" s="4">
        <f>Gold_ForeignExchangeRateDataset[[#This Row],[Total SBP Reserves]]+Gold_ForeignExchangeRateDataset[[#This Row],[Total Banks Reserves]]</f>
        <v>17857.599999999999</v>
      </c>
      <c r="G4" s="3">
        <f t="shared" si="0"/>
        <v>2.8111280351223416E-3</v>
      </c>
      <c r="H4" s="3"/>
    </row>
    <row r="5" spans="1:8">
      <c r="A5" s="1">
        <v>42308</v>
      </c>
      <c r="B5" s="2" t="s">
        <v>5</v>
      </c>
      <c r="C5" s="4">
        <v>2368.9</v>
      </c>
      <c r="D5" s="4">
        <v>14884.2</v>
      </c>
      <c r="E5" s="4">
        <v>3023.6</v>
      </c>
      <c r="F5" s="4">
        <f>Gold_ForeignExchangeRateDataset[[#This Row],[Total SBP Reserves]]+Gold_ForeignExchangeRateDataset[[#This Row],[Total Banks Reserves]]</f>
        <v>17907.8</v>
      </c>
      <c r="G5" s="3">
        <f t="shared" si="0"/>
        <v>-1.553512994337667E-2</v>
      </c>
      <c r="H5" s="3"/>
    </row>
    <row r="6" spans="1:8">
      <c r="A6" s="1">
        <v>42338</v>
      </c>
      <c r="B6" s="2" t="s">
        <v>5</v>
      </c>
      <c r="C6" s="4">
        <v>2202.1</v>
      </c>
      <c r="D6" s="4">
        <v>14839.6</v>
      </c>
      <c r="E6" s="4">
        <v>2790</v>
      </c>
      <c r="F6" s="4">
        <f>Gold_ForeignExchangeRateDataset[[#This Row],[Total SBP Reserves]]+Gold_ForeignExchangeRateDataset[[#This Row],[Total Banks Reserves]]</f>
        <v>17629.599999999999</v>
      </c>
      <c r="G6" s="3">
        <f t="shared" si="0"/>
        <v>6.8600535463084894E-2</v>
      </c>
      <c r="H6" s="3"/>
    </row>
    <row r="7" spans="1:8">
      <c r="A7" s="1">
        <v>42369</v>
      </c>
      <c r="B7" s="2" t="s">
        <v>5</v>
      </c>
      <c r="C7" s="4">
        <v>2202.8000000000002</v>
      </c>
      <c r="D7" s="4">
        <v>15944.5</v>
      </c>
      <c r="E7" s="4">
        <v>2894.5</v>
      </c>
      <c r="F7" s="4">
        <f>Gold_ForeignExchangeRateDataset[[#This Row],[Total SBP Reserves]]+Gold_ForeignExchangeRateDataset[[#This Row],[Total Banks Reserves]]</f>
        <v>18839</v>
      </c>
      <c r="G7" s="3">
        <f t="shared" si="0"/>
        <v>-3.7825786931365707E-2</v>
      </c>
      <c r="H7" s="3"/>
    </row>
    <row r="8" spans="1:8">
      <c r="A8" s="1">
        <v>42400</v>
      </c>
      <c r="B8" s="2" t="s">
        <v>5</v>
      </c>
      <c r="C8" s="4">
        <v>2305.6</v>
      </c>
      <c r="D8" s="4">
        <v>15496.7</v>
      </c>
      <c r="E8" s="4">
        <v>2629.7</v>
      </c>
      <c r="F8" s="4">
        <f>Gold_ForeignExchangeRateDataset[[#This Row],[Total SBP Reserves]]+Gold_ForeignExchangeRateDataset[[#This Row],[Total Banks Reserves]]</f>
        <v>18126.400000000001</v>
      </c>
      <c r="G8" s="3">
        <f t="shared" si="0"/>
        <v>1.1474975726012485E-3</v>
      </c>
      <c r="H8" s="3"/>
    </row>
    <row r="9" spans="1:8">
      <c r="A9" s="1">
        <v>42429</v>
      </c>
      <c r="B9" s="2" t="s">
        <v>5</v>
      </c>
      <c r="C9" s="4">
        <v>2560.8000000000002</v>
      </c>
      <c r="D9" s="4">
        <v>15550.2</v>
      </c>
      <c r="E9" s="4">
        <v>2597</v>
      </c>
      <c r="F9" s="4">
        <f>Gold_ForeignExchangeRateDataset[[#This Row],[Total SBP Reserves]]+Gold_ForeignExchangeRateDataset[[#This Row],[Total Banks Reserves]]</f>
        <v>18147.2</v>
      </c>
      <c r="G9" s="3">
        <f t="shared" si="0"/>
        <v>2.2289940045847292E-2</v>
      </c>
      <c r="H9" s="3"/>
    </row>
    <row r="10" spans="1:8">
      <c r="A10" s="1">
        <v>42460</v>
      </c>
      <c r="B10" s="2" t="s">
        <v>5</v>
      </c>
      <c r="C10" s="4">
        <v>2565.1999999999998</v>
      </c>
      <c r="D10" s="4">
        <v>16166.8</v>
      </c>
      <c r="E10" s="4">
        <v>2384.9</v>
      </c>
      <c r="F10" s="4">
        <f>Gold_ForeignExchangeRateDataset[[#This Row],[Total SBP Reserves]]+Gold_ForeignExchangeRateDataset[[#This Row],[Total Banks Reserves]]</f>
        <v>18551.7</v>
      </c>
      <c r="G10" s="3">
        <f t="shared" si="0"/>
        <v>-2.4256537136758356E-4</v>
      </c>
      <c r="H10" s="3"/>
    </row>
    <row r="11" spans="1:8">
      <c r="A11" s="1">
        <v>42490</v>
      </c>
      <c r="B11" s="2" t="s">
        <v>5</v>
      </c>
      <c r="C11" s="4">
        <v>2666.1</v>
      </c>
      <c r="D11" s="4">
        <v>15955.6</v>
      </c>
      <c r="E11" s="4">
        <v>2591.6</v>
      </c>
      <c r="F11" s="4">
        <f>Gold_ForeignExchangeRateDataset[[#This Row],[Total SBP Reserves]]+Gold_ForeignExchangeRateDataset[[#This Row],[Total Banks Reserves]]</f>
        <v>18547.2</v>
      </c>
      <c r="G11" s="3">
        <f t="shared" si="0"/>
        <v>2.8839932712215202E-2</v>
      </c>
      <c r="H11" s="3"/>
    </row>
    <row r="12" spans="1:8">
      <c r="A12" s="1">
        <v>42521</v>
      </c>
      <c r="B12" s="2" t="s">
        <v>5</v>
      </c>
      <c r="C12" s="4">
        <v>2513.5</v>
      </c>
      <c r="D12" s="4">
        <v>16634.5</v>
      </c>
      <c r="E12" s="4">
        <v>2447.6</v>
      </c>
      <c r="F12" s="4">
        <f>Gold_ForeignExchangeRateDataset[[#This Row],[Total SBP Reserves]]+Gold_ForeignExchangeRateDataset[[#This Row],[Total Banks Reserves]]</f>
        <v>19082.099999999999</v>
      </c>
      <c r="G12" s="3">
        <f t="shared" si="0"/>
        <v>9.0016297996551781E-2</v>
      </c>
      <c r="H12" s="3"/>
    </row>
    <row r="13" spans="1:8">
      <c r="A13" s="1">
        <v>42551</v>
      </c>
      <c r="B13" s="2" t="s">
        <v>5</v>
      </c>
      <c r="C13" s="4">
        <v>2739.3</v>
      </c>
      <c r="D13" s="4">
        <v>18191.7</v>
      </c>
      <c r="E13" s="4">
        <v>2608.1</v>
      </c>
      <c r="F13" s="4">
        <f>Gold_ForeignExchangeRateDataset[[#This Row],[Total SBP Reserves]]+Gold_ForeignExchangeRateDataset[[#This Row],[Total Banks Reserves]]</f>
        <v>20799.8</v>
      </c>
      <c r="G13" s="3">
        <f t="shared" si="0"/>
        <v>-7.7596899970190977E-3</v>
      </c>
      <c r="H13" s="3"/>
    </row>
    <row r="14" spans="1:8">
      <c r="A14" s="1">
        <v>42582</v>
      </c>
      <c r="B14" s="2" t="s">
        <v>5</v>
      </c>
      <c r="C14" s="4">
        <v>2783.3</v>
      </c>
      <c r="D14" s="4">
        <v>18108.900000000001</v>
      </c>
      <c r="E14" s="4">
        <v>2529.5</v>
      </c>
      <c r="F14" s="4">
        <f>Gold_ForeignExchangeRateDataset[[#This Row],[Total SBP Reserves]]+Gold_ForeignExchangeRateDataset[[#This Row],[Total Banks Reserves]]</f>
        <v>20638.400000000001</v>
      </c>
      <c r="G14" s="3">
        <f t="shared" si="0"/>
        <v>-2.1804015815197098E-4</v>
      </c>
      <c r="H14" s="3">
        <f>(F14-F2)/F2</f>
        <v>0.26207132723447985</v>
      </c>
    </row>
    <row r="15" spans="1:8">
      <c r="A15" s="1">
        <v>42613</v>
      </c>
      <c r="B15" s="2" t="s">
        <v>5</v>
      </c>
      <c r="C15" s="4">
        <v>2715.4</v>
      </c>
      <c r="D15" s="4">
        <v>18169.8</v>
      </c>
      <c r="E15" s="4">
        <v>2464.1</v>
      </c>
      <c r="F15" s="4">
        <f>Gold_ForeignExchangeRateDataset[[#This Row],[Total SBP Reserves]]+Gold_ForeignExchangeRateDataset[[#This Row],[Total Banks Reserves]]</f>
        <v>20633.899999999998</v>
      </c>
      <c r="G15" s="3">
        <f t="shared" si="0"/>
        <v>1.9831442432114179E-2</v>
      </c>
      <c r="H15" s="3">
        <f t="shared" ref="H15:H78" si="1">(F15-F3)/F3</f>
        <v>0.28676374294533991</v>
      </c>
    </row>
    <row r="16" spans="1:8">
      <c r="A16" s="1">
        <v>42643</v>
      </c>
      <c r="B16" s="2" t="s">
        <v>5</v>
      </c>
      <c r="C16" s="4">
        <v>2742.9</v>
      </c>
      <c r="D16" s="4">
        <v>18552.8</v>
      </c>
      <c r="E16" s="4">
        <v>2490.3000000000002</v>
      </c>
      <c r="F16" s="4">
        <f>Gold_ForeignExchangeRateDataset[[#This Row],[Total SBP Reserves]]+Gold_ForeignExchangeRateDataset[[#This Row],[Total Banks Reserves]]</f>
        <v>21043.1</v>
      </c>
      <c r="G16" s="3">
        <f t="shared" si="0"/>
        <v>1.8096193051404162E-2</v>
      </c>
      <c r="H16" s="3">
        <f t="shared" si="1"/>
        <v>0.17838343338410539</v>
      </c>
    </row>
    <row r="17" spans="1:8">
      <c r="A17" s="1">
        <v>42674</v>
      </c>
      <c r="B17" s="2" t="s">
        <v>5</v>
      </c>
      <c r="C17" s="4">
        <v>2638.2</v>
      </c>
      <c r="D17" s="4">
        <v>19028</v>
      </c>
      <c r="E17" s="4">
        <v>2395.9</v>
      </c>
      <c r="F17" s="4">
        <f>Gold_ForeignExchangeRateDataset[[#This Row],[Total SBP Reserves]]+Gold_ForeignExchangeRateDataset[[#This Row],[Total Banks Reserves]]</f>
        <v>21423.9</v>
      </c>
      <c r="G17" s="3">
        <f t="shared" si="0"/>
        <v>-2.6213714589780671E-2</v>
      </c>
      <c r="H17" s="3">
        <f t="shared" si="1"/>
        <v>0.19634460961145436</v>
      </c>
    </row>
    <row r="18" spans="1:8">
      <c r="A18" s="1">
        <v>42704</v>
      </c>
      <c r="B18" s="2" t="s">
        <v>5</v>
      </c>
      <c r="C18" s="4">
        <v>2444</v>
      </c>
      <c r="D18" s="4">
        <v>18476.5</v>
      </c>
      <c r="E18" s="4">
        <v>2385.8000000000002</v>
      </c>
      <c r="F18" s="4">
        <f>Gold_ForeignExchangeRateDataset[[#This Row],[Total SBP Reserves]]+Gold_ForeignExchangeRateDataset[[#This Row],[Total Banks Reserves]]</f>
        <v>20862.3</v>
      </c>
      <c r="G18" s="3">
        <f t="shared" si="0"/>
        <v>-6.7106694851478505E-4</v>
      </c>
      <c r="H18" s="3">
        <f t="shared" si="1"/>
        <v>0.18336774515587426</v>
      </c>
    </row>
    <row r="19" spans="1:8">
      <c r="A19" s="1">
        <v>42735</v>
      </c>
      <c r="B19" s="2" t="s">
        <v>5</v>
      </c>
      <c r="C19" s="4">
        <v>2404.6</v>
      </c>
      <c r="D19" s="4">
        <v>18379.599999999999</v>
      </c>
      <c r="E19" s="4">
        <v>2468.6999999999998</v>
      </c>
      <c r="F19" s="4">
        <f>Gold_ForeignExchangeRateDataset[[#This Row],[Total SBP Reserves]]+Gold_ForeignExchangeRateDataset[[#This Row],[Total Banks Reserves]]</f>
        <v>20848.3</v>
      </c>
      <c r="G19" s="3">
        <f t="shared" si="0"/>
        <v>-5.0061635720898147E-2</v>
      </c>
      <c r="H19" s="3">
        <f t="shared" si="1"/>
        <v>0.10665640426774241</v>
      </c>
    </row>
    <row r="20" spans="1:8">
      <c r="A20" s="1">
        <v>42766</v>
      </c>
      <c r="B20" s="2" t="s">
        <v>5</v>
      </c>
      <c r="C20" s="4">
        <v>2516</v>
      </c>
      <c r="D20" s="4">
        <v>17502.599999999999</v>
      </c>
      <c r="E20" s="4">
        <v>2302</v>
      </c>
      <c r="F20" s="4">
        <f>Gold_ForeignExchangeRateDataset[[#This Row],[Total SBP Reserves]]+Gold_ForeignExchangeRateDataset[[#This Row],[Total Banks Reserves]]</f>
        <v>19804.599999999999</v>
      </c>
      <c r="G20" s="3">
        <f t="shared" si="0"/>
        <v>-1.8606788321904828E-2</v>
      </c>
      <c r="H20" s="3">
        <f t="shared" si="1"/>
        <v>9.2583193574013428E-2</v>
      </c>
    </row>
    <row r="21" spans="1:8">
      <c r="A21" s="1">
        <v>42794</v>
      </c>
      <c r="B21" s="2" t="s">
        <v>5</v>
      </c>
      <c r="C21" s="4">
        <v>2604.8000000000002</v>
      </c>
      <c r="D21" s="4">
        <v>17187.900000000001</v>
      </c>
      <c r="E21" s="4">
        <v>2248.1999999999998</v>
      </c>
      <c r="F21" s="4">
        <f>Gold_ForeignExchangeRateDataset[[#This Row],[Total SBP Reserves]]+Gold_ForeignExchangeRateDataset[[#This Row],[Total Banks Reserves]]</f>
        <v>19436.100000000002</v>
      </c>
      <c r="G21" s="3">
        <f t="shared" si="0"/>
        <v>-3.4075766228821774E-2</v>
      </c>
      <c r="H21" s="3">
        <f t="shared" si="1"/>
        <v>7.1024731087991608E-2</v>
      </c>
    </row>
    <row r="22" spans="1:8">
      <c r="A22" s="1">
        <v>42825</v>
      </c>
      <c r="B22" s="2" t="s">
        <v>5</v>
      </c>
      <c r="C22" s="4">
        <v>2582.5</v>
      </c>
      <c r="D22" s="4">
        <v>16574.599999999999</v>
      </c>
      <c r="E22" s="4">
        <v>2199.1999999999998</v>
      </c>
      <c r="F22" s="4">
        <f>Gold_ForeignExchangeRateDataset[[#This Row],[Total SBP Reserves]]+Gold_ForeignExchangeRateDataset[[#This Row],[Total Banks Reserves]]</f>
        <v>18773.8</v>
      </c>
      <c r="G22" s="3">
        <f t="shared" si="0"/>
        <v>-2.0017258093726325E-2</v>
      </c>
      <c r="H22" s="3">
        <f t="shared" si="1"/>
        <v>1.1971948662386657E-2</v>
      </c>
    </row>
    <row r="23" spans="1:8">
      <c r="A23" s="1">
        <v>42855</v>
      </c>
      <c r="B23" s="2" t="s">
        <v>5</v>
      </c>
      <c r="C23" s="4">
        <v>2627.3</v>
      </c>
      <c r="D23" s="4">
        <v>16178.6</v>
      </c>
      <c r="E23" s="4">
        <v>2219.4</v>
      </c>
      <c r="F23" s="4">
        <f>Gold_ForeignExchangeRateDataset[[#This Row],[Total SBP Reserves]]+Gold_ForeignExchangeRateDataset[[#This Row],[Total Banks Reserves]]</f>
        <v>18398</v>
      </c>
      <c r="G23" s="3">
        <f t="shared" si="0"/>
        <v>1.6115882161104468E-2</v>
      </c>
      <c r="H23" s="3">
        <f t="shared" si="1"/>
        <v>-8.0443409247757461E-3</v>
      </c>
    </row>
    <row r="24" spans="1:8">
      <c r="A24" s="1">
        <v>42886</v>
      </c>
      <c r="B24" s="2" t="s">
        <v>5</v>
      </c>
      <c r="C24" s="4">
        <v>2626.7</v>
      </c>
      <c r="D24" s="4">
        <v>16529.8</v>
      </c>
      <c r="E24" s="4">
        <v>2164.6999999999998</v>
      </c>
      <c r="F24" s="4">
        <f>Gold_ForeignExchangeRateDataset[[#This Row],[Total SBP Reserves]]+Gold_ForeignExchangeRateDataset[[#This Row],[Total Banks Reserves]]</f>
        <v>18694.5</v>
      </c>
      <c r="G24" s="3">
        <f t="shared" si="0"/>
        <v>3.1447752012624113E-2</v>
      </c>
      <c r="H24" s="3">
        <f t="shared" si="1"/>
        <v>-2.0312229786029763E-2</v>
      </c>
    </row>
    <row r="25" spans="1:8">
      <c r="A25" s="1">
        <v>42916</v>
      </c>
      <c r="B25" s="2" t="s">
        <v>5</v>
      </c>
      <c r="C25" s="4">
        <v>2578.5</v>
      </c>
      <c r="D25" s="4">
        <v>16243.2</v>
      </c>
      <c r="E25" s="4">
        <v>3039.2</v>
      </c>
      <c r="F25" s="4">
        <f>Gold_ForeignExchangeRateDataset[[#This Row],[Total SBP Reserves]]+Gold_ForeignExchangeRateDataset[[#This Row],[Total Banks Reserves]]</f>
        <v>19282.400000000001</v>
      </c>
      <c r="G25" s="3">
        <f t="shared" si="0"/>
        <v>-9.5205990955482864E-2</v>
      </c>
      <c r="H25" s="3">
        <f t="shared" si="1"/>
        <v>-7.2952624544466674E-2</v>
      </c>
    </row>
    <row r="26" spans="1:8">
      <c r="A26" s="1">
        <v>42947</v>
      </c>
      <c r="B26" s="2" t="s">
        <v>5</v>
      </c>
      <c r="C26" s="4">
        <v>2631</v>
      </c>
      <c r="D26" s="4">
        <v>14688.3</v>
      </c>
      <c r="E26" s="4">
        <v>2758.3</v>
      </c>
      <c r="F26" s="4">
        <f>Gold_ForeignExchangeRateDataset[[#This Row],[Total SBP Reserves]]+Gold_ForeignExchangeRateDataset[[#This Row],[Total Banks Reserves]]</f>
        <v>17446.599999999999</v>
      </c>
      <c r="G26" s="3">
        <f t="shared" si="0"/>
        <v>5.8464113351602766E-4</v>
      </c>
      <c r="H26" s="3">
        <f t="shared" si="1"/>
        <v>-0.1546534615086442</v>
      </c>
    </row>
    <row r="27" spans="1:8">
      <c r="A27" s="1">
        <v>42978</v>
      </c>
      <c r="B27" s="2" t="s">
        <v>5</v>
      </c>
      <c r="C27" s="4">
        <v>2722.7</v>
      </c>
      <c r="D27" s="4">
        <v>14827.7</v>
      </c>
      <c r="E27" s="4">
        <v>2629.1</v>
      </c>
      <c r="F27" s="4">
        <f>Gold_ForeignExchangeRateDataset[[#This Row],[Total SBP Reserves]]+Gold_ForeignExchangeRateDataset[[#This Row],[Total Banks Reserves]]</f>
        <v>17456.8</v>
      </c>
      <c r="G27" s="3">
        <f t="shared" si="0"/>
        <v>-4.642317034049756E-2</v>
      </c>
      <c r="H27" s="3">
        <f t="shared" si="1"/>
        <v>-0.15397476967514617</v>
      </c>
    </row>
    <row r="28" spans="1:8">
      <c r="A28" s="1">
        <v>43008</v>
      </c>
      <c r="B28" s="2" t="s">
        <v>5</v>
      </c>
      <c r="C28" s="4">
        <v>2663.2</v>
      </c>
      <c r="D28" s="4">
        <v>14038.2</v>
      </c>
      <c r="E28" s="4">
        <v>2608.1999999999998</v>
      </c>
      <c r="F28" s="4">
        <f>Gold_ForeignExchangeRateDataset[[#This Row],[Total SBP Reserves]]+Gold_ForeignExchangeRateDataset[[#This Row],[Total Banks Reserves]]</f>
        <v>16646.400000000001</v>
      </c>
      <c r="G28" s="3">
        <f t="shared" si="0"/>
        <v>-8.7165993848521105E-3</v>
      </c>
      <c r="H28" s="3">
        <f t="shared" si="1"/>
        <v>-0.20893784661005257</v>
      </c>
    </row>
    <row r="29" spans="1:8">
      <c r="A29" s="1">
        <v>43039</v>
      </c>
      <c r="B29" s="2" t="s">
        <v>5</v>
      </c>
      <c r="C29" s="4">
        <v>2636.4</v>
      </c>
      <c r="D29" s="4">
        <v>13674.1</v>
      </c>
      <c r="E29" s="4">
        <v>2827.2</v>
      </c>
      <c r="F29" s="4">
        <f>Gold_ForeignExchangeRateDataset[[#This Row],[Total SBP Reserves]]+Gold_ForeignExchangeRateDataset[[#This Row],[Total Banks Reserves]]</f>
        <v>16501.3</v>
      </c>
      <c r="G29" s="3">
        <f t="shared" si="0"/>
        <v>-6.4485828389278341E-2</v>
      </c>
      <c r="H29" s="3">
        <f t="shared" si="1"/>
        <v>-0.22977142350365723</v>
      </c>
    </row>
    <row r="30" spans="1:8">
      <c r="A30" s="1">
        <v>43069</v>
      </c>
      <c r="B30" s="2" t="s">
        <v>5</v>
      </c>
      <c r="C30" s="4">
        <v>2657.2</v>
      </c>
      <c r="D30" s="4">
        <v>12845.4</v>
      </c>
      <c r="E30" s="4">
        <v>2591.8000000000002</v>
      </c>
      <c r="F30" s="4">
        <f>Gold_ForeignExchangeRateDataset[[#This Row],[Total SBP Reserves]]+Gold_ForeignExchangeRateDataset[[#This Row],[Total Banks Reserves]]</f>
        <v>15437.2</v>
      </c>
      <c r="G30" s="3">
        <f t="shared" si="0"/>
        <v>0.11220299017956614</v>
      </c>
      <c r="H30" s="3">
        <f t="shared" si="1"/>
        <v>-0.2600432358848257</v>
      </c>
    </row>
    <row r="31" spans="1:8">
      <c r="A31" s="1">
        <v>43100</v>
      </c>
      <c r="B31" s="2" t="s">
        <v>5</v>
      </c>
      <c r="C31" s="4">
        <v>2691.1</v>
      </c>
      <c r="D31" s="4">
        <v>14328.9</v>
      </c>
      <c r="E31" s="4">
        <v>2840.4</v>
      </c>
      <c r="F31" s="4">
        <f>Gold_ForeignExchangeRateDataset[[#This Row],[Total SBP Reserves]]+Gold_ForeignExchangeRateDataset[[#This Row],[Total Banks Reserves]]</f>
        <v>17169.3</v>
      </c>
      <c r="G31" s="3">
        <f t="shared" si="0"/>
        <v>-8.306104500474687E-2</v>
      </c>
      <c r="H31" s="3">
        <f t="shared" si="1"/>
        <v>-0.17646522738064974</v>
      </c>
    </row>
    <row r="32" spans="1:8">
      <c r="A32" s="1">
        <v>43131</v>
      </c>
      <c r="B32" s="2" t="s">
        <v>5</v>
      </c>
      <c r="C32" s="4">
        <v>2792.5</v>
      </c>
      <c r="D32" s="4">
        <v>13022.8</v>
      </c>
      <c r="E32" s="4">
        <v>2720.4</v>
      </c>
      <c r="F32" s="4">
        <f>Gold_ForeignExchangeRateDataset[[#This Row],[Total SBP Reserves]]+Gold_ForeignExchangeRateDataset[[#This Row],[Total Banks Reserves]]</f>
        <v>15743.199999999999</v>
      </c>
      <c r="G32" s="3">
        <f t="shared" si="0"/>
        <v>-3.235682707454645E-2</v>
      </c>
      <c r="H32" s="3">
        <f t="shared" si="1"/>
        <v>-0.20507356876685215</v>
      </c>
    </row>
    <row r="33" spans="1:8">
      <c r="A33" s="1">
        <v>43159</v>
      </c>
      <c r="B33" s="2" t="s">
        <v>5</v>
      </c>
      <c r="C33" s="4">
        <v>2736</v>
      </c>
      <c r="D33" s="4">
        <v>12465</v>
      </c>
      <c r="E33" s="4">
        <v>2768.8</v>
      </c>
      <c r="F33" s="4">
        <f>Gold_ForeignExchangeRateDataset[[#This Row],[Total SBP Reserves]]+Gold_ForeignExchangeRateDataset[[#This Row],[Total Banks Reserves]]</f>
        <v>15233.8</v>
      </c>
      <c r="G33" s="3">
        <f t="shared" si="0"/>
        <v>-4.3042445089209451E-2</v>
      </c>
      <c r="H33" s="3">
        <f t="shared" si="1"/>
        <v>-0.21621107115110555</v>
      </c>
    </row>
    <row r="34" spans="1:8">
      <c r="A34" s="1">
        <v>43190</v>
      </c>
      <c r="B34" s="2" t="s">
        <v>5</v>
      </c>
      <c r="C34" s="4">
        <v>2748.5</v>
      </c>
      <c r="D34" s="4">
        <v>11823</v>
      </c>
      <c r="E34" s="4">
        <v>2755.1</v>
      </c>
      <c r="F34" s="4">
        <f>Gold_ForeignExchangeRateDataset[[#This Row],[Total SBP Reserves]]+Gold_ForeignExchangeRateDataset[[#This Row],[Total Banks Reserves]]</f>
        <v>14578.1</v>
      </c>
      <c r="G34" s="3">
        <f t="shared" si="0"/>
        <v>-1.8575808918857812E-2</v>
      </c>
      <c r="H34" s="3">
        <f t="shared" si="1"/>
        <v>-0.22348698718426738</v>
      </c>
    </row>
    <row r="35" spans="1:8">
      <c r="A35" s="1">
        <v>43220</v>
      </c>
      <c r="B35" s="2" t="s">
        <v>5</v>
      </c>
      <c r="C35" s="4">
        <v>2726.4</v>
      </c>
      <c r="D35" s="4">
        <v>11576.4</v>
      </c>
      <c r="E35" s="4">
        <v>2730.9</v>
      </c>
      <c r="F35" s="4">
        <f>Gold_ForeignExchangeRateDataset[[#This Row],[Total SBP Reserves]]+Gold_ForeignExchangeRateDataset[[#This Row],[Total Banks Reserves]]</f>
        <v>14307.3</v>
      </c>
      <c r="G35" s="3">
        <f t="shared" si="0"/>
        <v>-0.13557414746318305</v>
      </c>
      <c r="H35" s="3">
        <f t="shared" si="1"/>
        <v>-0.22234482008914017</v>
      </c>
    </row>
    <row r="36" spans="1:8">
      <c r="A36" s="1">
        <v>43251</v>
      </c>
      <c r="B36" s="2" t="s">
        <v>5</v>
      </c>
      <c r="C36" s="4">
        <v>2711.5</v>
      </c>
      <c r="D36" s="4">
        <v>9651.2000000000007</v>
      </c>
      <c r="E36" s="4">
        <v>2716.4</v>
      </c>
      <c r="F36" s="4">
        <f>Gold_ForeignExchangeRateDataset[[#This Row],[Total SBP Reserves]]+Gold_ForeignExchangeRateDataset[[#This Row],[Total Banks Reserves]]</f>
        <v>12367.6</v>
      </c>
      <c r="G36" s="3">
        <f t="shared" si="0"/>
        <v>3.5318089200814973E-2</v>
      </c>
      <c r="H36" s="3">
        <f t="shared" si="1"/>
        <v>-0.33843643852469973</v>
      </c>
    </row>
    <row r="37" spans="1:8">
      <c r="A37" s="1">
        <v>43281</v>
      </c>
      <c r="B37" s="2" t="s">
        <v>5</v>
      </c>
      <c r="C37" s="4">
        <v>2597.6999999999998</v>
      </c>
      <c r="D37" s="4">
        <v>9866.2999999999993</v>
      </c>
      <c r="E37" s="4">
        <v>2938.1</v>
      </c>
      <c r="F37" s="4">
        <f>Gold_ForeignExchangeRateDataset[[#This Row],[Total SBP Reserves]]+Gold_ForeignExchangeRateDataset[[#This Row],[Total Banks Reserves]]</f>
        <v>12804.4</v>
      </c>
      <c r="G37" s="3">
        <f t="shared" si="0"/>
        <v>4.0806285339414716E-2</v>
      </c>
      <c r="H37" s="3">
        <f t="shared" si="1"/>
        <v>-0.33595403061859525</v>
      </c>
    </row>
    <row r="38" spans="1:8">
      <c r="A38" s="1">
        <v>43312</v>
      </c>
      <c r="B38" s="2" t="s">
        <v>5</v>
      </c>
      <c r="C38" s="4">
        <v>2536.4</v>
      </c>
      <c r="D38" s="4">
        <v>10363.1</v>
      </c>
      <c r="E38" s="4">
        <v>2963.8</v>
      </c>
      <c r="F38" s="4">
        <f>Gold_ForeignExchangeRateDataset[[#This Row],[Total SBP Reserves]]+Gold_ForeignExchangeRateDataset[[#This Row],[Total Banks Reserves]]</f>
        <v>13326.900000000001</v>
      </c>
      <c r="G38" s="3">
        <f t="shared" si="0"/>
        <v>-3.2858354155880315E-2</v>
      </c>
      <c r="H38" s="3">
        <f t="shared" si="1"/>
        <v>-0.23613196840645154</v>
      </c>
    </row>
    <row r="39" spans="1:8">
      <c r="A39" s="1">
        <v>43343</v>
      </c>
      <c r="B39" s="2" t="s">
        <v>5</v>
      </c>
      <c r="C39" s="4">
        <v>2498</v>
      </c>
      <c r="D39" s="4">
        <v>10241.5</v>
      </c>
      <c r="E39" s="4">
        <v>2647.5</v>
      </c>
      <c r="F39" s="4">
        <f>Gold_ForeignExchangeRateDataset[[#This Row],[Total SBP Reserves]]+Gold_ForeignExchangeRateDataset[[#This Row],[Total Banks Reserves]]</f>
        <v>12889</v>
      </c>
      <c r="G39" s="3">
        <f t="shared" si="0"/>
        <v>-0.10740166033051433</v>
      </c>
      <c r="H39" s="3">
        <f t="shared" si="1"/>
        <v>-0.26166307685257317</v>
      </c>
    </row>
    <row r="40" spans="1:8">
      <c r="A40" s="1">
        <v>43373</v>
      </c>
      <c r="B40" s="2" t="s">
        <v>5</v>
      </c>
      <c r="C40" s="4">
        <v>2466.4</v>
      </c>
      <c r="D40" s="4">
        <v>8876.6</v>
      </c>
      <c r="E40" s="4">
        <v>2628.1</v>
      </c>
      <c r="F40" s="4">
        <f>Gold_ForeignExchangeRateDataset[[#This Row],[Total SBP Reserves]]+Gold_ForeignExchangeRateDataset[[#This Row],[Total Banks Reserves]]</f>
        <v>11504.7</v>
      </c>
      <c r="G40" s="3">
        <f t="shared" si="0"/>
        <v>-7.2074891131450686E-2</v>
      </c>
      <c r="H40" s="3">
        <f t="shared" si="1"/>
        <v>-0.30887759515570934</v>
      </c>
    </row>
    <row r="41" spans="1:8">
      <c r="A41" s="1">
        <v>43404</v>
      </c>
      <c r="B41" s="2" t="s">
        <v>5</v>
      </c>
      <c r="C41" s="4">
        <v>2523.9</v>
      </c>
      <c r="D41" s="4">
        <v>8064.2</v>
      </c>
      <c r="E41" s="4">
        <v>2611.3000000000002</v>
      </c>
      <c r="F41" s="4">
        <f>Gold_ForeignExchangeRateDataset[[#This Row],[Total SBP Reserves]]+Gold_ForeignExchangeRateDataset[[#This Row],[Total Banks Reserves]]</f>
        <v>10675.5</v>
      </c>
      <c r="G41" s="3">
        <f t="shared" si="0"/>
        <v>-1.5193667743899651E-2</v>
      </c>
      <c r="H41" s="3">
        <f t="shared" si="1"/>
        <v>-0.35305097174162031</v>
      </c>
    </row>
    <row r="42" spans="1:8">
      <c r="A42" s="1">
        <v>43434</v>
      </c>
      <c r="B42" s="2" t="s">
        <v>5</v>
      </c>
      <c r="C42" s="4">
        <v>2529.3000000000002</v>
      </c>
      <c r="D42" s="4">
        <v>7987.5</v>
      </c>
      <c r="E42" s="4">
        <v>2525.8000000000002</v>
      </c>
      <c r="F42" s="4">
        <f>Gold_ForeignExchangeRateDataset[[#This Row],[Total SBP Reserves]]+Gold_ForeignExchangeRateDataset[[#This Row],[Total Banks Reserves]]</f>
        <v>10513.3</v>
      </c>
      <c r="G42" s="3">
        <f t="shared" si="0"/>
        <v>-3.9131385958737948E-2</v>
      </c>
      <c r="H42" s="3">
        <f t="shared" si="1"/>
        <v>-0.31896328349700731</v>
      </c>
    </row>
    <row r="43" spans="1:8">
      <c r="A43" s="1">
        <v>43465</v>
      </c>
      <c r="B43" s="2" t="s">
        <v>5</v>
      </c>
      <c r="C43" s="4">
        <v>2662.5</v>
      </c>
      <c r="D43" s="4">
        <v>7635.8</v>
      </c>
      <c r="E43" s="4">
        <v>2466.1</v>
      </c>
      <c r="F43" s="4">
        <f>Gold_ForeignExchangeRateDataset[[#This Row],[Total SBP Reserves]]+Gold_ForeignExchangeRateDataset[[#This Row],[Total Banks Reserves]]</f>
        <v>10101.9</v>
      </c>
      <c r="G43" s="3">
        <f t="shared" si="0"/>
        <v>0.12443203753749313</v>
      </c>
      <c r="H43" s="3">
        <f t="shared" si="1"/>
        <v>-0.41163006063147595</v>
      </c>
    </row>
    <row r="44" spans="1:8">
      <c r="A44" s="1">
        <v>43496</v>
      </c>
      <c r="B44" s="2" t="s">
        <v>5</v>
      </c>
      <c r="C44" s="4">
        <v>2748.9</v>
      </c>
      <c r="D44" s="4">
        <v>8599.6</v>
      </c>
      <c r="E44" s="4">
        <v>2759.3</v>
      </c>
      <c r="F44" s="4">
        <f>Gold_ForeignExchangeRateDataset[[#This Row],[Total SBP Reserves]]+Gold_ForeignExchangeRateDataset[[#This Row],[Total Banks Reserves]]</f>
        <v>11358.900000000001</v>
      </c>
      <c r="G44" s="3">
        <f t="shared" si="0"/>
        <v>7.5799593270473847E-3</v>
      </c>
      <c r="H44" s="3">
        <f t="shared" si="1"/>
        <v>-0.27848849026881434</v>
      </c>
    </row>
    <row r="45" spans="1:8">
      <c r="A45" s="1">
        <v>43524</v>
      </c>
      <c r="B45" s="2" t="s">
        <v>5</v>
      </c>
      <c r="C45" s="4">
        <v>2740.4</v>
      </c>
      <c r="D45" s="4">
        <v>8502.1</v>
      </c>
      <c r="E45" s="4">
        <v>2942.9</v>
      </c>
      <c r="F45" s="4">
        <f>Gold_ForeignExchangeRateDataset[[#This Row],[Total SBP Reserves]]+Gold_ForeignExchangeRateDataset[[#This Row],[Total Banks Reserves]]</f>
        <v>11445</v>
      </c>
      <c r="G45" s="3">
        <f t="shared" si="0"/>
        <v>0.20919178680646577</v>
      </c>
      <c r="H45" s="3">
        <f t="shared" si="1"/>
        <v>-0.2487101051608922</v>
      </c>
    </row>
    <row r="46" spans="1:8">
      <c r="A46" s="1">
        <v>43555</v>
      </c>
      <c r="B46" s="2" t="s">
        <v>5</v>
      </c>
      <c r="C46" s="4">
        <v>2691.1</v>
      </c>
      <c r="D46" s="4">
        <v>10878.9</v>
      </c>
      <c r="E46" s="4">
        <v>2960.3</v>
      </c>
      <c r="F46" s="4">
        <f>Gold_ForeignExchangeRateDataset[[#This Row],[Total SBP Reserves]]+Gold_ForeignExchangeRateDataset[[#This Row],[Total Banks Reserves]]</f>
        <v>13839.2</v>
      </c>
      <c r="G46" s="3">
        <f t="shared" si="0"/>
        <v>-0.13791982195502633</v>
      </c>
      <c r="H46" s="3">
        <f t="shared" si="1"/>
        <v>-5.0685617467296808E-2</v>
      </c>
    </row>
    <row r="47" spans="1:8">
      <c r="A47" s="1">
        <v>43585</v>
      </c>
      <c r="B47" s="2" t="s">
        <v>5</v>
      </c>
      <c r="C47" s="4">
        <v>2663.8</v>
      </c>
      <c r="D47" s="4">
        <v>9146.9</v>
      </c>
      <c r="E47" s="4">
        <v>2783.6</v>
      </c>
      <c r="F47" s="4">
        <f>Gold_ForeignExchangeRateDataset[[#This Row],[Total SBP Reserves]]+Gold_ForeignExchangeRateDataset[[#This Row],[Total Banks Reserves]]</f>
        <v>11930.5</v>
      </c>
      <c r="G47" s="3">
        <f t="shared" si="0"/>
        <v>-6.941033485604127E-2</v>
      </c>
      <c r="H47" s="3">
        <f t="shared" si="1"/>
        <v>-0.16612498514744217</v>
      </c>
    </row>
    <row r="48" spans="1:8">
      <c r="A48" s="1">
        <v>43616</v>
      </c>
      <c r="B48" s="2" t="s">
        <v>5</v>
      </c>
      <c r="C48" s="4">
        <v>2691.4</v>
      </c>
      <c r="D48" s="4">
        <v>8221.7999999999993</v>
      </c>
      <c r="E48" s="4">
        <v>2880.6</v>
      </c>
      <c r="F48" s="4">
        <f>Gold_ForeignExchangeRateDataset[[#This Row],[Total SBP Reserves]]+Gold_ForeignExchangeRateDataset[[#This Row],[Total Banks Reserves]]</f>
        <v>11102.4</v>
      </c>
      <c r="G48" s="3">
        <f t="shared" si="0"/>
        <v>-4.0522769851563598E-2</v>
      </c>
      <c r="H48" s="3">
        <f t="shared" si="1"/>
        <v>-0.10229955690675642</v>
      </c>
    </row>
    <row r="49" spans="1:8">
      <c r="A49" s="1">
        <v>43646</v>
      </c>
      <c r="B49" s="2" t="s">
        <v>5</v>
      </c>
      <c r="C49" s="4">
        <v>2928</v>
      </c>
      <c r="D49" s="4">
        <v>7774.3</v>
      </c>
      <c r="E49" s="4">
        <v>2878.2</v>
      </c>
      <c r="F49" s="4">
        <f>Gold_ForeignExchangeRateDataset[[#This Row],[Total SBP Reserves]]+Gold_ForeignExchangeRateDataset[[#This Row],[Total Banks Reserves]]</f>
        <v>10652.5</v>
      </c>
      <c r="G49" s="3">
        <f t="shared" si="0"/>
        <v>7.2846749589298293E-2</v>
      </c>
      <c r="H49" s="3">
        <f t="shared" si="1"/>
        <v>-0.1680594170753803</v>
      </c>
    </row>
    <row r="50" spans="1:8">
      <c r="A50" s="1">
        <v>43677</v>
      </c>
      <c r="B50" s="2" t="s">
        <v>5</v>
      </c>
      <c r="C50" s="4">
        <v>2966.5</v>
      </c>
      <c r="D50" s="4">
        <v>8413.9</v>
      </c>
      <c r="E50" s="4">
        <v>3014.6</v>
      </c>
      <c r="F50" s="4">
        <f>Gold_ForeignExchangeRateDataset[[#This Row],[Total SBP Reserves]]+Gold_ForeignExchangeRateDataset[[#This Row],[Total Banks Reserves]]</f>
        <v>11428.5</v>
      </c>
      <c r="G50" s="3">
        <f t="shared" si="0"/>
        <v>4.8667804173776148E-2</v>
      </c>
      <c r="H50" s="3">
        <f t="shared" si="1"/>
        <v>-0.14244873151295509</v>
      </c>
    </row>
    <row r="51" spans="1:8">
      <c r="A51" s="1">
        <v>43708</v>
      </c>
      <c r="B51" s="2" t="s">
        <v>5</v>
      </c>
      <c r="C51" s="4">
        <v>3176.1</v>
      </c>
      <c r="D51" s="4">
        <v>8881.4</v>
      </c>
      <c r="E51" s="4">
        <v>3103.3</v>
      </c>
      <c r="F51" s="4">
        <f>Gold_ForeignExchangeRateDataset[[#This Row],[Total SBP Reserves]]+Gold_ForeignExchangeRateDataset[[#This Row],[Total Banks Reserves]]</f>
        <v>11984.7</v>
      </c>
      <c r="G51" s="3">
        <f t="shared" si="0"/>
        <v>-5.3368044256426973E-2</v>
      </c>
      <c r="H51" s="3">
        <f t="shared" si="1"/>
        <v>-7.0160602063775251E-2</v>
      </c>
    </row>
    <row r="52" spans="1:8">
      <c r="A52" s="1">
        <v>43738</v>
      </c>
      <c r="B52" s="2" t="s">
        <v>5</v>
      </c>
      <c r="C52" s="4">
        <v>3086.5</v>
      </c>
      <c r="D52" s="4">
        <v>8526.1</v>
      </c>
      <c r="E52" s="4">
        <v>2819</v>
      </c>
      <c r="F52" s="4">
        <f>Gold_ForeignExchangeRateDataset[[#This Row],[Total SBP Reserves]]+Gold_ForeignExchangeRateDataset[[#This Row],[Total Banks Reserves]]</f>
        <v>11345.1</v>
      </c>
      <c r="G52" s="3">
        <f t="shared" si="0"/>
        <v>2.5896642603414784E-2</v>
      </c>
      <c r="H52" s="3">
        <f t="shared" si="1"/>
        <v>-1.3872591201856663E-2</v>
      </c>
    </row>
    <row r="53" spans="1:8">
      <c r="A53" s="1">
        <v>43769</v>
      </c>
      <c r="B53" s="2" t="s">
        <v>5</v>
      </c>
      <c r="C53" s="4">
        <v>3139.8</v>
      </c>
      <c r="D53" s="4">
        <v>8723.7000000000007</v>
      </c>
      <c r="E53" s="4">
        <v>2915.2</v>
      </c>
      <c r="F53" s="4">
        <f>Gold_ForeignExchangeRateDataset[[#This Row],[Total SBP Reserves]]+Gold_ForeignExchangeRateDataset[[#This Row],[Total Banks Reserves]]</f>
        <v>11638.900000000001</v>
      </c>
      <c r="G53" s="3">
        <f t="shared" si="0"/>
        <v>6.5006143192225932E-2</v>
      </c>
      <c r="H53" s="3">
        <f t="shared" si="1"/>
        <v>9.0244016673692237E-2</v>
      </c>
    </row>
    <row r="54" spans="1:8">
      <c r="A54" s="1">
        <v>43799</v>
      </c>
      <c r="B54" s="2" t="s">
        <v>5</v>
      </c>
      <c r="C54" s="4">
        <v>3034.2</v>
      </c>
      <c r="D54" s="4">
        <v>9555.7999999999993</v>
      </c>
      <c r="E54" s="4">
        <v>2839.7</v>
      </c>
      <c r="F54" s="4">
        <f>Gold_ForeignExchangeRateDataset[[#This Row],[Total SBP Reserves]]+Gold_ForeignExchangeRateDataset[[#This Row],[Total Banks Reserves]]</f>
        <v>12395.5</v>
      </c>
      <c r="G54" s="3">
        <f t="shared" si="0"/>
        <v>0.16633455689564769</v>
      </c>
      <c r="H54" s="3">
        <f t="shared" si="1"/>
        <v>0.17903037105380812</v>
      </c>
    </row>
    <row r="55" spans="1:8">
      <c r="A55" s="1">
        <v>43830</v>
      </c>
      <c r="B55" s="2" t="s">
        <v>5</v>
      </c>
      <c r="C55" s="4">
        <v>3164.8</v>
      </c>
      <c r="D55" s="4">
        <v>11760.2</v>
      </c>
      <c r="E55" s="4">
        <v>2697.1</v>
      </c>
      <c r="F55" s="4">
        <f>Gold_ForeignExchangeRateDataset[[#This Row],[Total SBP Reserves]]+Gold_ForeignExchangeRateDataset[[#This Row],[Total Banks Reserves]]</f>
        <v>14457.300000000001</v>
      </c>
      <c r="G55" s="3">
        <f t="shared" si="0"/>
        <v>9.5079994189786493E-2</v>
      </c>
      <c r="H55" s="3">
        <f t="shared" si="1"/>
        <v>0.43114661598313203</v>
      </c>
    </row>
    <row r="56" spans="1:8">
      <c r="A56" s="1">
        <v>43861</v>
      </c>
      <c r="B56" s="2" t="s">
        <v>5</v>
      </c>
      <c r="C56" s="4">
        <v>3292</v>
      </c>
      <c r="D56" s="4">
        <v>12656.6</v>
      </c>
      <c r="E56" s="4">
        <v>3175.3</v>
      </c>
      <c r="F56" s="4">
        <f>Gold_ForeignExchangeRateDataset[[#This Row],[Total SBP Reserves]]+Gold_ForeignExchangeRateDataset[[#This Row],[Total Banks Reserves]]</f>
        <v>15831.900000000001</v>
      </c>
      <c r="G56" s="3">
        <f t="shared" si="0"/>
        <v>2.8170971266872579E-2</v>
      </c>
      <c r="H56" s="3">
        <f t="shared" si="1"/>
        <v>0.39378813089295611</v>
      </c>
    </row>
    <row r="57" spans="1:8">
      <c r="A57" s="1">
        <v>43890</v>
      </c>
      <c r="B57" s="2" t="s">
        <v>5</v>
      </c>
      <c r="C57" s="4">
        <v>3345.3</v>
      </c>
      <c r="D57" s="4">
        <v>13221.2</v>
      </c>
      <c r="E57" s="4">
        <v>3056.7</v>
      </c>
      <c r="F57" s="4">
        <f>Gold_ForeignExchangeRateDataset[[#This Row],[Total SBP Reserves]]+Gold_ForeignExchangeRateDataset[[#This Row],[Total Banks Reserves]]</f>
        <v>16277.900000000001</v>
      </c>
      <c r="G57" s="3">
        <f t="shared" si="0"/>
        <v>-0.13863581911671669</v>
      </c>
      <c r="H57" s="3">
        <f t="shared" si="1"/>
        <v>0.42227173438182625</v>
      </c>
    </row>
    <row r="58" spans="1:8">
      <c r="A58" s="1">
        <v>43921</v>
      </c>
      <c r="B58" s="2" t="s">
        <v>5</v>
      </c>
      <c r="C58" s="4">
        <v>3343.5</v>
      </c>
      <c r="D58" s="4">
        <v>11397.3</v>
      </c>
      <c r="E58" s="4">
        <v>2623.9</v>
      </c>
      <c r="F58" s="4">
        <f>Gold_ForeignExchangeRateDataset[[#This Row],[Total SBP Reserves]]+Gold_ForeignExchangeRateDataset[[#This Row],[Total Banks Reserves]]</f>
        <v>14021.199999999999</v>
      </c>
      <c r="G58" s="3">
        <f t="shared" si="0"/>
        <v>7.729010355747018E-2</v>
      </c>
      <c r="H58" s="3">
        <f t="shared" si="1"/>
        <v>1.3151049193594872E-2</v>
      </c>
    </row>
    <row r="59" spans="1:8">
      <c r="A59" s="1">
        <v>43951</v>
      </c>
      <c r="B59" s="2" t="s">
        <v>5</v>
      </c>
      <c r="C59" s="4">
        <v>3538.4</v>
      </c>
      <c r="D59" s="4">
        <v>12880.8</v>
      </c>
      <c r="E59" s="4">
        <v>2224.1</v>
      </c>
      <c r="F59" s="4">
        <f>Gold_ForeignExchangeRateDataset[[#This Row],[Total SBP Reserves]]+Gold_ForeignExchangeRateDataset[[#This Row],[Total Banks Reserves]]</f>
        <v>15104.9</v>
      </c>
      <c r="G59" s="3">
        <f t="shared" si="0"/>
        <v>-0.11847148938423956</v>
      </c>
      <c r="H59" s="3">
        <f t="shared" si="1"/>
        <v>0.2660743472612212</v>
      </c>
    </row>
    <row r="60" spans="1:8">
      <c r="A60" s="1">
        <v>43982</v>
      </c>
      <c r="B60" s="2" t="s">
        <v>5</v>
      </c>
      <c r="C60" s="4">
        <v>3592.3</v>
      </c>
      <c r="D60" s="4">
        <v>10870</v>
      </c>
      <c r="E60" s="4">
        <v>2445.4</v>
      </c>
      <c r="F60" s="4">
        <f>Gold_ForeignExchangeRateDataset[[#This Row],[Total SBP Reserves]]+Gold_ForeignExchangeRateDataset[[#This Row],[Total Banks Reserves]]</f>
        <v>13315.4</v>
      </c>
      <c r="G60" s="3">
        <f t="shared" si="0"/>
        <v>0.14315754690058133</v>
      </c>
      <c r="H60" s="3">
        <f t="shared" si="1"/>
        <v>0.19932627179708892</v>
      </c>
    </row>
    <row r="61" spans="1:8">
      <c r="A61" s="1">
        <v>44012</v>
      </c>
      <c r="B61" s="2" t="s">
        <v>5</v>
      </c>
      <c r="C61" s="4">
        <v>3674.5</v>
      </c>
      <c r="D61" s="4">
        <v>12549.6</v>
      </c>
      <c r="E61" s="4">
        <v>2672</v>
      </c>
      <c r="F61" s="4">
        <f>Gold_ForeignExchangeRateDataset[[#This Row],[Total SBP Reserves]]+Gold_ForeignExchangeRateDataset[[#This Row],[Total Banks Reserves]]</f>
        <v>15221.6</v>
      </c>
      <c r="G61" s="3">
        <f t="shared" si="0"/>
        <v>6.1918589372996151E-2</v>
      </c>
      <c r="H61" s="3">
        <f t="shared" si="1"/>
        <v>0.42892278807791601</v>
      </c>
    </row>
    <row r="62" spans="1:8">
      <c r="A62" s="1">
        <v>44043</v>
      </c>
      <c r="B62" s="2" t="s">
        <v>5</v>
      </c>
      <c r="C62" s="4">
        <v>4083.4</v>
      </c>
      <c r="D62" s="4">
        <v>12797.8</v>
      </c>
      <c r="E62" s="4">
        <v>3366.3</v>
      </c>
      <c r="F62" s="4">
        <f>Gold_ForeignExchangeRateDataset[[#This Row],[Total SBP Reserves]]+Gold_ForeignExchangeRateDataset[[#This Row],[Total Banks Reserves]]</f>
        <v>16164.099999999999</v>
      </c>
      <c r="G62" s="3">
        <f t="shared" si="0"/>
        <v>1.3220655650484763E-2</v>
      </c>
      <c r="H62" s="3">
        <f t="shared" si="1"/>
        <v>0.4143675897974361</v>
      </c>
    </row>
    <row r="63" spans="1:8">
      <c r="A63" s="1">
        <v>44074</v>
      </c>
      <c r="B63" s="2" t="s">
        <v>5</v>
      </c>
      <c r="C63" s="4">
        <v>4067.8</v>
      </c>
      <c r="D63" s="4">
        <v>12913</v>
      </c>
      <c r="E63" s="4">
        <v>3464.8</v>
      </c>
      <c r="F63" s="4">
        <f>Gold_ForeignExchangeRateDataset[[#This Row],[Total SBP Reserves]]+Gold_ForeignExchangeRateDataset[[#This Row],[Total Banks Reserves]]</f>
        <v>16377.8</v>
      </c>
      <c r="G63" s="3">
        <f t="shared" si="0"/>
        <v>-3.8503339886920014E-2</v>
      </c>
      <c r="H63" s="3">
        <f t="shared" si="1"/>
        <v>0.36655902942918872</v>
      </c>
    </row>
    <row r="64" spans="1:8">
      <c r="A64" s="1">
        <v>44104</v>
      </c>
      <c r="B64" s="2" t="s">
        <v>5</v>
      </c>
      <c r="C64" s="4">
        <v>3921.3</v>
      </c>
      <c r="D64" s="4">
        <v>12305.7</v>
      </c>
      <c r="E64" s="4">
        <v>3441.5</v>
      </c>
      <c r="F64" s="4">
        <f>Gold_ForeignExchangeRateDataset[[#This Row],[Total SBP Reserves]]+Gold_ForeignExchangeRateDataset[[#This Row],[Total Banks Reserves]]</f>
        <v>15747.2</v>
      </c>
      <c r="G64" s="3">
        <f t="shared" si="0"/>
        <v>8.8904694167852051E-3</v>
      </c>
      <c r="H64" s="3">
        <f t="shared" si="1"/>
        <v>0.38801773452856303</v>
      </c>
    </row>
    <row r="65" spans="1:8">
      <c r="A65" s="1">
        <v>44135</v>
      </c>
      <c r="B65" s="2" t="s">
        <v>5</v>
      </c>
      <c r="C65" s="4">
        <v>3910.9</v>
      </c>
      <c r="D65" s="4">
        <v>12344.5</v>
      </c>
      <c r="E65" s="4">
        <v>3542.7</v>
      </c>
      <c r="F65" s="4">
        <f>Gold_ForeignExchangeRateDataset[[#This Row],[Total SBP Reserves]]+Gold_ForeignExchangeRateDataset[[#This Row],[Total Banks Reserves]]</f>
        <v>15887.2</v>
      </c>
      <c r="G65" s="3">
        <f t="shared" si="0"/>
        <v>6.732463870285503E-2</v>
      </c>
      <c r="H65" s="3">
        <f t="shared" si="1"/>
        <v>0.36500872075539775</v>
      </c>
    </row>
    <row r="66" spans="1:8">
      <c r="A66" s="1">
        <v>44165</v>
      </c>
      <c r="B66" s="2" t="s">
        <v>5</v>
      </c>
      <c r="C66" s="4">
        <v>3662.9</v>
      </c>
      <c r="D66" s="4">
        <v>13272.5</v>
      </c>
      <c r="E66" s="4">
        <v>3684.3</v>
      </c>
      <c r="F66" s="4">
        <f>Gold_ForeignExchangeRateDataset[[#This Row],[Total SBP Reserves]]+Gold_ForeignExchangeRateDataset[[#This Row],[Total Banks Reserves]]</f>
        <v>16956.8</v>
      </c>
      <c r="G66" s="3">
        <f t="shared" ref="G66:G129" si="2">(F67-F66)/F66</f>
        <v>2.1737591998490197E-2</v>
      </c>
      <c r="H66" s="3">
        <f t="shared" si="1"/>
        <v>0.36798031543705373</v>
      </c>
    </row>
    <row r="67" spans="1:8">
      <c r="A67" s="1">
        <v>44196</v>
      </c>
      <c r="B67" s="2" t="s">
        <v>5</v>
      </c>
      <c r="C67" s="4">
        <v>3922.8</v>
      </c>
      <c r="D67" s="4">
        <v>13581.3</v>
      </c>
      <c r="E67" s="4">
        <v>3744.1</v>
      </c>
      <c r="F67" s="4">
        <f>Gold_ForeignExchangeRateDataset[[#This Row],[Total SBP Reserves]]+Gold_ForeignExchangeRateDataset[[#This Row],[Total Banks Reserves]]</f>
        <v>17325.399999999998</v>
      </c>
      <c r="G67" s="3">
        <f t="shared" si="2"/>
        <v>-2.3150980641139518E-2</v>
      </c>
      <c r="H67" s="3">
        <f t="shared" si="1"/>
        <v>0.1983842072862842</v>
      </c>
    </row>
    <row r="68" spans="1:8">
      <c r="A68" s="1">
        <v>44227</v>
      </c>
      <c r="B68" s="2" t="s">
        <v>5</v>
      </c>
      <c r="C68" s="4">
        <v>3873.3</v>
      </c>
      <c r="D68" s="4">
        <v>13196.2</v>
      </c>
      <c r="E68" s="4">
        <v>3728.1</v>
      </c>
      <c r="F68" s="4">
        <f>Gold_ForeignExchangeRateDataset[[#This Row],[Total SBP Reserves]]+Gold_ForeignExchangeRateDataset[[#This Row],[Total Banks Reserves]]</f>
        <v>16924.3</v>
      </c>
      <c r="G68" s="3">
        <f t="shared" si="2"/>
        <v>-2.5584514573719014E-3</v>
      </c>
      <c r="H68" s="3">
        <f t="shared" si="1"/>
        <v>6.8999930520025884E-2</v>
      </c>
    </row>
    <row r="69" spans="1:8">
      <c r="A69" s="1">
        <v>44255</v>
      </c>
      <c r="B69" s="2" t="s">
        <v>5</v>
      </c>
      <c r="C69" s="4">
        <v>3622</v>
      </c>
      <c r="D69" s="4">
        <v>13167.5</v>
      </c>
      <c r="E69" s="4">
        <v>3713.5</v>
      </c>
      <c r="F69" s="4">
        <f>Gold_ForeignExchangeRateDataset[[#This Row],[Total SBP Reserves]]+Gold_ForeignExchangeRateDataset[[#This Row],[Total Banks Reserves]]</f>
        <v>16881</v>
      </c>
      <c r="G69" s="3">
        <f t="shared" si="2"/>
        <v>2.4169184290029782E-3</v>
      </c>
      <c r="H69" s="3">
        <f t="shared" si="1"/>
        <v>3.7050233752510979E-2</v>
      </c>
    </row>
    <row r="70" spans="1:8">
      <c r="A70" s="1">
        <v>44286</v>
      </c>
      <c r="B70" s="2" t="s">
        <v>5</v>
      </c>
      <c r="C70" s="4">
        <v>3514.3</v>
      </c>
      <c r="D70" s="4">
        <v>13668.9</v>
      </c>
      <c r="E70" s="4">
        <v>3252.9</v>
      </c>
      <c r="F70" s="4">
        <f>Gold_ForeignExchangeRateDataset[[#This Row],[Total SBP Reserves]]+Gold_ForeignExchangeRateDataset[[#This Row],[Total Banks Reserves]]</f>
        <v>16921.8</v>
      </c>
      <c r="G70" s="3">
        <f t="shared" si="2"/>
        <v>0.10387192851824278</v>
      </c>
      <c r="H70" s="3">
        <f t="shared" si="1"/>
        <v>0.20687245028956155</v>
      </c>
    </row>
    <row r="71" spans="1:8">
      <c r="A71" s="1">
        <v>44316</v>
      </c>
      <c r="B71" s="2" t="s">
        <v>5</v>
      </c>
      <c r="C71" s="4">
        <v>3674.1</v>
      </c>
      <c r="D71" s="4">
        <v>15791.3</v>
      </c>
      <c r="E71" s="4">
        <v>2888.2</v>
      </c>
      <c r="F71" s="4">
        <f>Gold_ForeignExchangeRateDataset[[#This Row],[Total SBP Reserves]]+Gold_ForeignExchangeRateDataset[[#This Row],[Total Banks Reserves]]</f>
        <v>18679.5</v>
      </c>
      <c r="G71" s="3">
        <f t="shared" si="2"/>
        <v>2.1231831687143581E-2</v>
      </c>
      <c r="H71" s="3">
        <f t="shared" si="1"/>
        <v>0.23665168256658439</v>
      </c>
    </row>
    <row r="72" spans="1:8">
      <c r="A72" s="1">
        <v>44347</v>
      </c>
      <c r="B72" s="2" t="s">
        <v>5</v>
      </c>
      <c r="C72" s="4">
        <v>3949.1</v>
      </c>
      <c r="D72" s="4">
        <v>16299.5</v>
      </c>
      <c r="E72" s="4">
        <v>2776.6</v>
      </c>
      <c r="F72" s="4">
        <f>Gold_ForeignExchangeRateDataset[[#This Row],[Total SBP Reserves]]+Gold_ForeignExchangeRateDataset[[#This Row],[Total Banks Reserves]]</f>
        <v>19076.099999999999</v>
      </c>
      <c r="G72" s="3">
        <f t="shared" si="2"/>
        <v>5.1221161558180059E-2</v>
      </c>
      <c r="H72" s="3">
        <f t="shared" si="1"/>
        <v>0.43263439325893321</v>
      </c>
    </row>
    <row r="73" spans="1:8">
      <c r="A73" s="1">
        <v>44377</v>
      </c>
      <c r="B73" s="2" t="s">
        <v>5</v>
      </c>
      <c r="C73" s="4">
        <v>3664.7</v>
      </c>
      <c r="D73" s="4">
        <v>17485.599999999999</v>
      </c>
      <c r="E73" s="4">
        <v>2567.6</v>
      </c>
      <c r="F73" s="4">
        <f>Gold_ForeignExchangeRateDataset[[#This Row],[Total SBP Reserves]]+Gold_ForeignExchangeRateDataset[[#This Row],[Total Banks Reserves]]</f>
        <v>20053.199999999997</v>
      </c>
      <c r="G73" s="3">
        <f t="shared" si="2"/>
        <v>2.7591606327169879E-2</v>
      </c>
      <c r="H73" s="3">
        <f t="shared" si="1"/>
        <v>0.31741735428601436</v>
      </c>
    </row>
    <row r="74" spans="1:8">
      <c r="A74" s="1">
        <v>44408</v>
      </c>
      <c r="B74" s="2" t="s">
        <v>5</v>
      </c>
      <c r="C74" s="4">
        <v>3794.9</v>
      </c>
      <c r="D74" s="4">
        <v>18027</v>
      </c>
      <c r="E74" s="4">
        <v>2579.5</v>
      </c>
      <c r="F74" s="4">
        <f>Gold_ForeignExchangeRateDataset[[#This Row],[Total SBP Reserves]]+Gold_ForeignExchangeRateDataset[[#This Row],[Total Banks Reserves]]</f>
        <v>20606.5</v>
      </c>
      <c r="G74" s="3">
        <f t="shared" si="2"/>
        <v>0.11807439400189254</v>
      </c>
      <c r="H74" s="3">
        <f t="shared" si="1"/>
        <v>0.27483126187044138</v>
      </c>
    </row>
    <row r="75" spans="1:8">
      <c r="A75" s="1">
        <v>44439</v>
      </c>
      <c r="B75" s="2" t="s">
        <v>5</v>
      </c>
      <c r="C75" s="4">
        <v>3772.2</v>
      </c>
      <c r="D75" s="4">
        <v>20308.3</v>
      </c>
      <c r="E75" s="4">
        <v>2731.3</v>
      </c>
      <c r="F75" s="4">
        <f>Gold_ForeignExchangeRateDataset[[#This Row],[Total SBP Reserves]]+Gold_ForeignExchangeRateDataset[[#This Row],[Total Banks Reserves]]</f>
        <v>23039.599999999999</v>
      </c>
      <c r="G75" s="3">
        <f t="shared" si="2"/>
        <v>-5.0148440077084737E-2</v>
      </c>
      <c r="H75" s="3">
        <f t="shared" si="1"/>
        <v>0.40675792841529385</v>
      </c>
    </row>
    <row r="76" spans="1:8">
      <c r="A76" s="1">
        <v>44469</v>
      </c>
      <c r="B76" s="2" t="s">
        <v>5</v>
      </c>
      <c r="C76" s="4">
        <v>3622.4</v>
      </c>
      <c r="D76" s="4">
        <v>19400.099999999999</v>
      </c>
      <c r="E76" s="4">
        <v>2484.1</v>
      </c>
      <c r="F76" s="4">
        <f>Gold_ForeignExchangeRateDataset[[#This Row],[Total SBP Reserves]]+Gold_ForeignExchangeRateDataset[[#This Row],[Total Banks Reserves]]</f>
        <v>21884.199999999997</v>
      </c>
      <c r="G76" s="3">
        <f t="shared" si="2"/>
        <v>-0.10105007265515752</v>
      </c>
      <c r="H76" s="3">
        <f t="shared" si="1"/>
        <v>0.38972007722007695</v>
      </c>
    </row>
    <row r="77" spans="1:8">
      <c r="A77" s="1">
        <v>44500</v>
      </c>
      <c r="B77" s="2" t="s">
        <v>5</v>
      </c>
      <c r="C77" s="4">
        <v>3677.2</v>
      </c>
      <c r="D77" s="4">
        <v>17388</v>
      </c>
      <c r="E77" s="4">
        <v>2284.8000000000002</v>
      </c>
      <c r="F77" s="4">
        <f>Gold_ForeignExchangeRateDataset[[#This Row],[Total SBP Reserves]]+Gold_ForeignExchangeRateDataset[[#This Row],[Total Banks Reserves]]</f>
        <v>19672.8</v>
      </c>
      <c r="G77" s="3">
        <f t="shared" si="2"/>
        <v>-6.3869911756333622E-2</v>
      </c>
      <c r="H77" s="3">
        <f t="shared" si="1"/>
        <v>0.23827987310539292</v>
      </c>
    </row>
    <row r="78" spans="1:8">
      <c r="A78" s="1">
        <v>44530</v>
      </c>
      <c r="B78" s="2" t="s">
        <v>5</v>
      </c>
      <c r="C78" s="4">
        <v>3750.5</v>
      </c>
      <c r="D78" s="4">
        <v>16141.5</v>
      </c>
      <c r="E78" s="4">
        <v>2274.8000000000002</v>
      </c>
      <c r="F78" s="4">
        <f>Gold_ForeignExchangeRateDataset[[#This Row],[Total SBP Reserves]]+Gold_ForeignExchangeRateDataset[[#This Row],[Total Banks Reserves]]</f>
        <v>18416.3</v>
      </c>
      <c r="G78" s="3">
        <f t="shared" si="2"/>
        <v>9.3314075031358093E-2</v>
      </c>
      <c r="H78" s="3">
        <f t="shared" si="1"/>
        <v>8.6071664464993397E-2</v>
      </c>
    </row>
    <row r="79" spans="1:8">
      <c r="A79" s="1">
        <v>44561</v>
      </c>
      <c r="B79" s="2" t="s">
        <v>5</v>
      </c>
      <c r="C79" s="4">
        <v>3783.1</v>
      </c>
      <c r="D79" s="4">
        <v>17837.2</v>
      </c>
      <c r="E79" s="4">
        <v>2297.6</v>
      </c>
      <c r="F79" s="4">
        <f>Gold_ForeignExchangeRateDataset[[#This Row],[Total SBP Reserves]]+Gold_ForeignExchangeRateDataset[[#This Row],[Total Banks Reserves]]</f>
        <v>20134.8</v>
      </c>
      <c r="G79" s="3">
        <f t="shared" si="2"/>
        <v>-3.0465164789319977E-2</v>
      </c>
      <c r="H79" s="3">
        <f t="shared" ref="H79:H132" si="3">(F79-F67)/F67</f>
        <v>0.16215498632066225</v>
      </c>
    </row>
    <row r="80" spans="1:8">
      <c r="A80" s="1">
        <v>44592</v>
      </c>
      <c r="B80" s="2" t="s">
        <v>5</v>
      </c>
      <c r="C80" s="4">
        <v>3731.46</v>
      </c>
      <c r="D80" s="4">
        <v>16714.18</v>
      </c>
      <c r="E80" s="4">
        <v>2807.21</v>
      </c>
      <c r="F80" s="4">
        <f>Gold_ForeignExchangeRateDataset[[#This Row],[Total SBP Reserves]]+Gold_ForeignExchangeRateDataset[[#This Row],[Total Banks Reserves]]</f>
        <v>19521.39</v>
      </c>
      <c r="G80" s="3">
        <f t="shared" si="2"/>
        <v>7.3130038383538284E-3</v>
      </c>
      <c r="H80" s="3">
        <f t="shared" si="3"/>
        <v>0.15345331860106476</v>
      </c>
    </row>
    <row r="81" spans="1:8">
      <c r="A81" s="1">
        <v>44620</v>
      </c>
      <c r="B81" s="2" t="s">
        <v>5</v>
      </c>
      <c r="C81" s="4">
        <v>3969.66</v>
      </c>
      <c r="D81" s="4">
        <v>16579.68</v>
      </c>
      <c r="E81" s="4">
        <v>3084.47</v>
      </c>
      <c r="F81" s="4">
        <f>Gold_ForeignExchangeRateDataset[[#This Row],[Total SBP Reserves]]+Gold_ForeignExchangeRateDataset[[#This Row],[Total Banks Reserves]]</f>
        <v>19664.150000000001</v>
      </c>
      <c r="G81" s="3">
        <f t="shared" si="2"/>
        <v>-0.25837323250687166</v>
      </c>
      <c r="H81" s="3">
        <f t="shared" si="3"/>
        <v>0.16486878739411182</v>
      </c>
    </row>
    <row r="82" spans="1:8">
      <c r="A82" s="1">
        <v>44651</v>
      </c>
      <c r="B82" s="2" t="s">
        <v>5</v>
      </c>
      <c r="C82" s="4">
        <v>4036.79</v>
      </c>
      <c r="D82" s="4">
        <v>11643.94</v>
      </c>
      <c r="E82" s="4">
        <v>2939.52</v>
      </c>
      <c r="F82" s="4">
        <f>Gold_ForeignExchangeRateDataset[[#This Row],[Total SBP Reserves]]+Gold_ForeignExchangeRateDataset[[#This Row],[Total Banks Reserves]]</f>
        <v>14583.460000000001</v>
      </c>
      <c r="G82" s="3">
        <f t="shared" si="2"/>
        <v>-7.2700854255437417E-2</v>
      </c>
      <c r="H82" s="3">
        <f t="shared" si="3"/>
        <v>-0.13818506305475767</v>
      </c>
    </row>
    <row r="83" spans="1:8">
      <c r="A83" s="1">
        <v>44681</v>
      </c>
      <c r="B83" s="2" t="s">
        <v>5</v>
      </c>
      <c r="C83" s="4">
        <v>3972.67</v>
      </c>
      <c r="D83" s="4">
        <v>10751.68</v>
      </c>
      <c r="E83" s="4">
        <v>2771.55</v>
      </c>
      <c r="F83" s="4">
        <f>Gold_ForeignExchangeRateDataset[[#This Row],[Total SBP Reserves]]+Gold_ForeignExchangeRateDataset[[#This Row],[Total Banks Reserves]]</f>
        <v>13523.23</v>
      </c>
      <c r="G83" s="3">
        <f t="shared" si="2"/>
        <v>-0.1342001873812691</v>
      </c>
      <c r="H83" s="3">
        <f t="shared" si="3"/>
        <v>-0.27603897320592097</v>
      </c>
    </row>
    <row r="84" spans="1:8">
      <c r="A84" s="1">
        <v>44712</v>
      </c>
      <c r="B84" s="2" t="s">
        <v>5</v>
      </c>
      <c r="C84" s="4">
        <v>3821.77</v>
      </c>
      <c r="D84" s="4">
        <v>9619.09</v>
      </c>
      <c r="E84" s="4">
        <v>2089.3200000000002</v>
      </c>
      <c r="F84" s="4">
        <f>Gold_ForeignExchangeRateDataset[[#This Row],[Total SBP Reserves]]+Gold_ForeignExchangeRateDataset[[#This Row],[Total Banks Reserves]]</f>
        <v>11708.41</v>
      </c>
      <c r="G84" s="3">
        <f t="shared" si="2"/>
        <v>7.9938266596403851E-2</v>
      </c>
      <c r="H84" s="3">
        <f t="shared" si="3"/>
        <v>-0.38622622024417985</v>
      </c>
    </row>
    <row r="85" spans="1:8">
      <c r="A85" s="1">
        <v>44742</v>
      </c>
      <c r="B85" s="2" t="s">
        <v>5</v>
      </c>
      <c r="C85" s="4">
        <v>3776.67</v>
      </c>
      <c r="D85" s="4">
        <v>10064.27</v>
      </c>
      <c r="E85" s="4">
        <v>2580.09</v>
      </c>
      <c r="F85" s="4">
        <f>Gold_ForeignExchangeRateDataset[[#This Row],[Total SBP Reserves]]+Gold_ForeignExchangeRateDataset[[#This Row],[Total Banks Reserves]]</f>
        <v>12644.36</v>
      </c>
      <c r="G85" s="3">
        <f t="shared" si="2"/>
        <v>-0.15783400662429725</v>
      </c>
      <c r="H85" s="3">
        <f t="shared" si="3"/>
        <v>-0.36945923842578726</v>
      </c>
    </row>
    <row r="86" spans="1:8">
      <c r="A86" s="1">
        <v>44773</v>
      </c>
      <c r="B86" s="2" t="s">
        <v>5</v>
      </c>
      <c r="C86" s="4">
        <v>3644.47</v>
      </c>
      <c r="D86" s="4">
        <v>8605.7000000000007</v>
      </c>
      <c r="E86" s="4">
        <v>2042.95</v>
      </c>
      <c r="F86" s="4">
        <f>Gold_ForeignExchangeRateDataset[[#This Row],[Total SBP Reserves]]+Gold_ForeignExchangeRateDataset[[#This Row],[Total Banks Reserves]]</f>
        <v>10648.650000000001</v>
      </c>
      <c r="G86" s="3">
        <f t="shared" si="2"/>
        <v>2.2278880421461682E-2</v>
      </c>
      <c r="H86" s="3">
        <f t="shared" si="3"/>
        <v>-0.48323829859510342</v>
      </c>
    </row>
    <row r="87" spans="1:8">
      <c r="A87" s="1">
        <v>44804</v>
      </c>
      <c r="B87" s="2" t="s">
        <v>5</v>
      </c>
      <c r="C87" s="4">
        <v>3566.53</v>
      </c>
      <c r="D87" s="4">
        <v>9020.7999999999993</v>
      </c>
      <c r="E87" s="4">
        <v>1865.09</v>
      </c>
      <c r="F87" s="4">
        <f>Gold_ForeignExchangeRateDataset[[#This Row],[Total SBP Reserves]]+Gold_ForeignExchangeRateDataset[[#This Row],[Total Banks Reserves]]</f>
        <v>10885.89</v>
      </c>
      <c r="G87" s="3">
        <f t="shared" si="2"/>
        <v>-5.7576367205621266E-2</v>
      </c>
      <c r="H87" s="3">
        <f t="shared" si="3"/>
        <v>-0.52751393253355094</v>
      </c>
    </row>
    <row r="88" spans="1:8">
      <c r="A88" s="1">
        <v>44834</v>
      </c>
      <c r="B88" s="2" t="s">
        <v>5</v>
      </c>
      <c r="C88" s="4">
        <v>3475.03</v>
      </c>
      <c r="D88" s="4">
        <v>8045.29</v>
      </c>
      <c r="E88" s="4">
        <v>2213.83</v>
      </c>
      <c r="F88" s="4">
        <f>Gold_ForeignExchangeRateDataset[[#This Row],[Total SBP Reserves]]+Gold_ForeignExchangeRateDataset[[#This Row],[Total Banks Reserves]]</f>
        <v>10259.119999999999</v>
      </c>
      <c r="G88" s="3">
        <f t="shared" si="2"/>
        <v>5.671441605127945E-2</v>
      </c>
      <c r="H88" s="3">
        <f t="shared" si="3"/>
        <v>-0.53120881732025849</v>
      </c>
    </row>
    <row r="89" spans="1:8">
      <c r="A89" s="1">
        <v>44865</v>
      </c>
      <c r="B89" s="2" t="s">
        <v>5</v>
      </c>
      <c r="C89" s="4">
        <v>3406.95</v>
      </c>
      <c r="D89" s="4">
        <v>8971.52</v>
      </c>
      <c r="E89" s="4">
        <v>1869.44</v>
      </c>
      <c r="F89" s="4">
        <f>Gold_ForeignExchangeRateDataset[[#This Row],[Total SBP Reserves]]+Gold_ForeignExchangeRateDataset[[#This Row],[Total Banks Reserves]]</f>
        <v>10840.960000000001</v>
      </c>
      <c r="G89" s="3">
        <f t="shared" si="2"/>
        <v>-8.6256198713029128E-2</v>
      </c>
      <c r="H89" s="3">
        <f t="shared" si="3"/>
        <v>-0.44893660282217063</v>
      </c>
    </row>
    <row r="90" spans="1:8">
      <c r="A90" s="1">
        <v>44895</v>
      </c>
      <c r="B90" s="2" t="s">
        <v>5</v>
      </c>
      <c r="C90" s="4">
        <v>3644.96</v>
      </c>
      <c r="D90" s="4">
        <v>7853.27</v>
      </c>
      <c r="E90" s="4">
        <v>2052.59</v>
      </c>
      <c r="F90" s="4">
        <f>Gold_ForeignExchangeRateDataset[[#This Row],[Total SBP Reserves]]+Gold_ForeignExchangeRateDataset[[#This Row],[Total Banks Reserves]]</f>
        <v>9905.86</v>
      </c>
      <c r="G90" s="3">
        <f t="shared" si="2"/>
        <v>-0.24639758688291583</v>
      </c>
      <c r="H90" s="3">
        <f t="shared" si="3"/>
        <v>-0.46211453983699219</v>
      </c>
    </row>
    <row r="91" spans="1:8">
      <c r="A91" s="1">
        <v>44926</v>
      </c>
      <c r="B91" s="2" t="s">
        <v>5</v>
      </c>
      <c r="C91" s="4">
        <v>3767.29</v>
      </c>
      <c r="D91" s="4">
        <v>5701.8</v>
      </c>
      <c r="E91" s="4">
        <v>1763.28</v>
      </c>
      <c r="F91" s="4">
        <f>Gold_ForeignExchangeRateDataset[[#This Row],[Total SBP Reserves]]+Gold_ForeignExchangeRateDataset[[#This Row],[Total Banks Reserves]]</f>
        <v>7465.08</v>
      </c>
      <c r="G91" s="3">
        <f t="shared" si="2"/>
        <v>-0.28524811522448518</v>
      </c>
      <c r="H91" s="3">
        <f t="shared" si="3"/>
        <v>-0.62924488944513979</v>
      </c>
    </row>
    <row r="92" spans="1:8">
      <c r="A92" s="1">
        <v>44957</v>
      </c>
      <c r="B92" s="2" t="s">
        <v>5</v>
      </c>
      <c r="C92" s="4">
        <v>3999.17</v>
      </c>
      <c r="D92" s="4">
        <v>3203.81</v>
      </c>
      <c r="E92" s="4">
        <v>2131.87</v>
      </c>
      <c r="F92" s="4">
        <f>Gold_ForeignExchangeRateDataset[[#This Row],[Total SBP Reserves]]+Gold_ForeignExchangeRateDataset[[#This Row],[Total Banks Reserves]]</f>
        <v>5335.68</v>
      </c>
      <c r="G92" s="3">
        <f t="shared" si="2"/>
        <v>0.13892137459517806</v>
      </c>
      <c r="H92" s="3">
        <f t="shared" si="3"/>
        <v>-0.72667520089501825</v>
      </c>
    </row>
    <row r="93" spans="1:8">
      <c r="A93" s="1">
        <v>44985</v>
      </c>
      <c r="B93" s="2" t="s">
        <v>5</v>
      </c>
      <c r="C93" s="4">
        <v>3792.75</v>
      </c>
      <c r="D93" s="4">
        <v>3973.8</v>
      </c>
      <c r="E93" s="4">
        <v>2103.12</v>
      </c>
      <c r="F93" s="4">
        <f>Gold_ForeignExchangeRateDataset[[#This Row],[Total SBP Reserves]]+Gold_ForeignExchangeRateDataset[[#This Row],[Total Banks Reserves]]</f>
        <v>6076.92</v>
      </c>
      <c r="G93" s="3">
        <f t="shared" si="2"/>
        <v>0.20446541998249121</v>
      </c>
      <c r="H93" s="3">
        <f t="shared" si="3"/>
        <v>-0.69096452173117073</v>
      </c>
    </row>
    <row r="94" spans="1:8">
      <c r="A94" s="1">
        <v>45016</v>
      </c>
      <c r="B94" s="2" t="s">
        <v>5</v>
      </c>
      <c r="C94" s="4">
        <v>4115.16</v>
      </c>
      <c r="D94" s="4">
        <v>4298.76</v>
      </c>
      <c r="E94" s="4">
        <v>3020.68</v>
      </c>
      <c r="F94" s="4">
        <f>Gold_ForeignExchangeRateDataset[[#This Row],[Total SBP Reserves]]+Gold_ForeignExchangeRateDataset[[#This Row],[Total Banks Reserves]]</f>
        <v>7319.4400000000005</v>
      </c>
      <c r="G94" s="3">
        <f t="shared" si="2"/>
        <v>3.0745521515307052E-2</v>
      </c>
      <c r="H94" s="3">
        <f t="shared" si="3"/>
        <v>-0.49809990221799216</v>
      </c>
    </row>
    <row r="95" spans="1:8">
      <c r="A95" s="1">
        <v>45046</v>
      </c>
      <c r="B95" s="2" t="s">
        <v>5</v>
      </c>
      <c r="C95" s="4">
        <v>4121.08</v>
      </c>
      <c r="D95" s="4">
        <v>4559.4799999999996</v>
      </c>
      <c r="E95" s="4">
        <v>2985</v>
      </c>
      <c r="F95" s="4">
        <f>Gold_ForeignExchangeRateDataset[[#This Row],[Total SBP Reserves]]+Gold_ForeignExchangeRateDataset[[#This Row],[Total Banks Reserves]]</f>
        <v>7544.48</v>
      </c>
      <c r="G95" s="3">
        <f t="shared" si="2"/>
        <v>-9.7719127096897312E-2</v>
      </c>
      <c r="H95" s="3">
        <f t="shared" si="3"/>
        <v>-0.4421096143450936</v>
      </c>
    </row>
    <row r="96" spans="1:8">
      <c r="A96" s="1">
        <v>45077</v>
      </c>
      <c r="B96" s="2" t="s">
        <v>5</v>
      </c>
      <c r="C96" s="4">
        <v>4083.35</v>
      </c>
      <c r="D96" s="4">
        <v>3765.37</v>
      </c>
      <c r="E96" s="4">
        <v>3041.87</v>
      </c>
      <c r="F96" s="4">
        <f>Gold_ForeignExchangeRateDataset[[#This Row],[Total SBP Reserves]]+Gold_ForeignExchangeRateDataset[[#This Row],[Total Banks Reserves]]</f>
        <v>6807.24</v>
      </c>
      <c r="G96" s="3">
        <f t="shared" si="2"/>
        <v>9.2776220612171903E-2</v>
      </c>
      <c r="H96" s="3">
        <f t="shared" si="3"/>
        <v>-0.41860252587669888</v>
      </c>
    </row>
    <row r="97" spans="1:8">
      <c r="A97" s="1">
        <v>45107</v>
      </c>
      <c r="B97" s="2" t="s">
        <v>5</v>
      </c>
      <c r="C97" s="4">
        <v>3975.56</v>
      </c>
      <c r="D97" s="4">
        <v>4535.72</v>
      </c>
      <c r="E97" s="4">
        <v>2903.07</v>
      </c>
      <c r="F97" s="4">
        <f>Gold_ForeignExchangeRateDataset[[#This Row],[Total SBP Reserves]]+Gold_ForeignExchangeRateDataset[[#This Row],[Total Banks Reserves]]</f>
        <v>7438.7900000000009</v>
      </c>
      <c r="G97" s="3">
        <f t="shared" si="2"/>
        <v>0.49172799191804023</v>
      </c>
      <c r="H97" s="3">
        <f t="shared" si="3"/>
        <v>-0.41169106226016972</v>
      </c>
    </row>
    <row r="98" spans="1:8">
      <c r="A98" s="1">
        <v>45138</v>
      </c>
      <c r="B98" s="2" t="s">
        <v>5</v>
      </c>
      <c r="C98" s="4">
        <v>4096.9777990000002</v>
      </c>
      <c r="D98" s="4">
        <v>8225.1947249999994</v>
      </c>
      <c r="E98" s="4">
        <v>2871.4565440000001</v>
      </c>
      <c r="F98" s="4">
        <f>Gold_ForeignExchangeRateDataset[[#This Row],[Total SBP Reserves]]+Gold_ForeignExchangeRateDataset[[#This Row],[Total Banks Reserves]]</f>
        <v>11096.651269</v>
      </c>
      <c r="G98" s="3">
        <f t="shared" si="2"/>
        <v>-2.4389799808892304E-2</v>
      </c>
      <c r="H98" s="3">
        <f t="shared" si="3"/>
        <v>4.207117982091612E-2</v>
      </c>
    </row>
    <row r="99" spans="1:8">
      <c r="A99" s="1">
        <v>45169</v>
      </c>
      <c r="B99" s="2" t="s">
        <v>5</v>
      </c>
      <c r="C99" s="4">
        <v>4038.0382</v>
      </c>
      <c r="D99" s="4">
        <v>7888.6933209999997</v>
      </c>
      <c r="E99" s="4">
        <v>2937.3128449999999</v>
      </c>
      <c r="F99" s="4">
        <f>Gold_ForeignExchangeRateDataset[[#This Row],[Total SBP Reserves]]+Gold_ForeignExchangeRateDataset[[#This Row],[Total Banks Reserves]]</f>
        <v>10826.006165999999</v>
      </c>
      <c r="G99" s="3">
        <f t="shared" si="2"/>
        <v>-6.5949591109811551E-2</v>
      </c>
      <c r="H99" s="3">
        <f t="shared" si="3"/>
        <v>-5.5010508098097821E-3</v>
      </c>
    </row>
    <row r="100" spans="1:8">
      <c r="A100" s="1">
        <v>45199</v>
      </c>
      <c r="B100" s="2" t="s">
        <v>5</v>
      </c>
      <c r="C100" s="4">
        <v>3888.7661290000001</v>
      </c>
      <c r="D100" s="4">
        <v>7692.9744309999996</v>
      </c>
      <c r="E100" s="4">
        <v>2419.0610550000001</v>
      </c>
      <c r="F100" s="4">
        <f>Gold_ForeignExchangeRateDataset[[#This Row],[Total SBP Reserves]]+Gold_ForeignExchangeRateDataset[[#This Row],[Total Banks Reserves]]</f>
        <v>10112.035486000001</v>
      </c>
      <c r="G100" s="3">
        <f t="shared" si="2"/>
        <v>-2.3111304674865839E-2</v>
      </c>
      <c r="H100" s="3">
        <f t="shared" si="3"/>
        <v>-1.4336952292204237E-2</v>
      </c>
    </row>
    <row r="101" spans="1:8">
      <c r="A101" s="1">
        <v>45230</v>
      </c>
      <c r="B101" s="2" t="s">
        <v>5</v>
      </c>
      <c r="C101" s="4">
        <v>4151.5515020000003</v>
      </c>
      <c r="D101" s="4">
        <v>7561.9341000000004</v>
      </c>
      <c r="E101" s="4">
        <v>2316.3990530000001</v>
      </c>
      <c r="F101" s="4">
        <f>Gold_ForeignExchangeRateDataset[[#This Row],[Total SBP Reserves]]+Gold_ForeignExchangeRateDataset[[#This Row],[Total Banks Reserves]]</f>
        <v>9878.3331529999996</v>
      </c>
      <c r="G101" s="3">
        <f t="shared" si="2"/>
        <v>-2.1614501221307428E-2</v>
      </c>
      <c r="H101" s="3">
        <f t="shared" si="3"/>
        <v>-8.879535087298554E-2</v>
      </c>
    </row>
    <row r="102" spans="1:8">
      <c r="A102" s="1">
        <v>45260</v>
      </c>
      <c r="B102" s="2" t="s">
        <v>5</v>
      </c>
      <c r="C102" s="4">
        <v>4231.6968820000002</v>
      </c>
      <c r="D102" s="4">
        <v>7089.9616980000001</v>
      </c>
      <c r="E102" s="4">
        <v>2574.8562109999998</v>
      </c>
      <c r="F102" s="4">
        <f>Gold_ForeignExchangeRateDataset[[#This Row],[Total SBP Reserves]]+Gold_ForeignExchangeRateDataset[[#This Row],[Total Banks Reserves]]</f>
        <v>9664.8179089999994</v>
      </c>
      <c r="G102" s="3">
        <f t="shared" si="2"/>
        <v>0.13029460987851085</v>
      </c>
      <c r="H102" s="3">
        <f t="shared" si="3"/>
        <v>-2.4333282622609361E-2</v>
      </c>
    </row>
    <row r="103" spans="1:8">
      <c r="A103" s="1">
        <v>45291</v>
      </c>
      <c r="B103" s="2" t="s">
        <v>5</v>
      </c>
      <c r="C103" s="4">
        <v>4320.9898549999998</v>
      </c>
      <c r="D103" s="4">
        <v>8330.9886719999995</v>
      </c>
      <c r="E103" s="4">
        <v>2593.1029159999998</v>
      </c>
      <c r="F103" s="4">
        <f>Gold_ForeignExchangeRateDataset[[#This Row],[Total SBP Reserves]]+Gold_ForeignExchangeRateDataset[[#This Row],[Total Banks Reserves]]</f>
        <v>10924.091587999999</v>
      </c>
      <c r="G103" s="3">
        <f t="shared" si="2"/>
        <v>-4.6200532642402276E-3</v>
      </c>
      <c r="H103" s="3">
        <f t="shared" si="3"/>
        <v>0.46335894431138036</v>
      </c>
    </row>
    <row r="104" spans="1:8">
      <c r="A104" s="1">
        <v>45322</v>
      </c>
      <c r="B104" s="2" t="s">
        <v>5</v>
      </c>
      <c r="C104" s="4">
        <v>4269.3625249999996</v>
      </c>
      <c r="D104" s="4">
        <v>8256.2136350000001</v>
      </c>
      <c r="E104" s="4">
        <v>2617.4080680000002</v>
      </c>
      <c r="F104" s="4">
        <f>Gold_ForeignExchangeRateDataset[[#This Row],[Total SBP Reserves]]+Gold_ForeignExchangeRateDataset[[#This Row],[Total Banks Reserves]]</f>
        <v>10873.621703000001</v>
      </c>
      <c r="G104" s="3">
        <f t="shared" si="2"/>
        <v>1.157493017853229E-2</v>
      </c>
      <c r="H104" s="3">
        <f t="shared" si="3"/>
        <v>1.0379073900608733</v>
      </c>
    </row>
    <row r="105" spans="1:8">
      <c r="A105" s="1">
        <v>45351</v>
      </c>
      <c r="B105" s="2" t="s">
        <v>5</v>
      </c>
      <c r="C105" s="4">
        <v>4258.550064</v>
      </c>
      <c r="D105" s="4">
        <v>8065.7634019999996</v>
      </c>
      <c r="E105" s="4">
        <v>2933.719713</v>
      </c>
      <c r="F105" s="4">
        <f>Gold_ForeignExchangeRateDataset[[#This Row],[Total SBP Reserves]]+Gold_ForeignExchangeRateDataset[[#This Row],[Total Banks Reserves]]</f>
        <v>10999.483114999999</v>
      </c>
      <c r="G105" s="3">
        <f t="shared" si="2"/>
        <v>2.414272536478191E-2</v>
      </c>
      <c r="H105" s="3">
        <f t="shared" si="3"/>
        <v>0.81004244173035012</v>
      </c>
    </row>
    <row r="106" spans="1:8">
      <c r="A106" s="1">
        <v>45382</v>
      </c>
      <c r="B106" s="2" t="s">
        <v>5</v>
      </c>
      <c r="C106" s="4">
        <v>4604.7</v>
      </c>
      <c r="D106" s="4">
        <v>8137.9535059999998</v>
      </c>
      <c r="E106" s="4">
        <v>3127.0871090000001</v>
      </c>
      <c r="F106" s="4">
        <f>Gold_ForeignExchangeRateDataset[[#This Row],[Total SBP Reserves]]+Gold_ForeignExchangeRateDataset[[#This Row],[Total Banks Reserves]]</f>
        <v>11265.040615</v>
      </c>
      <c r="G106" s="3">
        <f t="shared" si="2"/>
        <v>3.6291352510139076E-2</v>
      </c>
      <c r="H106" s="3">
        <f t="shared" si="3"/>
        <v>0.53905771684719039</v>
      </c>
    </row>
    <row r="107" spans="1:8">
      <c r="A107" s="1">
        <v>45412</v>
      </c>
      <c r="B107" s="2" t="s">
        <v>5</v>
      </c>
      <c r="C107" s="4">
        <v>4797.3599359999998</v>
      </c>
      <c r="D107" s="4">
        <v>9244.2225259999996</v>
      </c>
      <c r="E107" s="4">
        <v>2429.6416490000001</v>
      </c>
      <c r="F107" s="4">
        <f>Gold_ForeignExchangeRateDataset[[#This Row],[Total SBP Reserves]]+Gold_ForeignExchangeRateDataset[[#This Row],[Total Banks Reserves]]</f>
        <v>11673.864174999999</v>
      </c>
      <c r="G107" s="3">
        <f t="shared" si="2"/>
        <v>7.5699495621380578E-3</v>
      </c>
      <c r="H107" s="3">
        <f t="shared" si="3"/>
        <v>0.54733847461985441</v>
      </c>
    </row>
    <row r="108" spans="1:8">
      <c r="A108" s="1">
        <v>45443</v>
      </c>
      <c r="B108" s="2" t="s">
        <v>5</v>
      </c>
      <c r="C108" s="4">
        <v>4883.1384779999998</v>
      </c>
      <c r="D108" s="4">
        <v>9202.7206019999994</v>
      </c>
      <c r="E108" s="4">
        <v>2559.5141359999998</v>
      </c>
      <c r="F108" s="4">
        <f>Gold_ForeignExchangeRateDataset[[#This Row],[Total SBP Reserves]]+Gold_ForeignExchangeRateDataset[[#This Row],[Total Banks Reserves]]</f>
        <v>11762.234737999999</v>
      </c>
      <c r="G108" s="3">
        <f t="shared" si="2"/>
        <v>5.3095182838205281E-2</v>
      </c>
      <c r="H108" s="3">
        <f t="shared" si="3"/>
        <v>0.727900696611255</v>
      </c>
    </row>
    <row r="109" spans="1:8">
      <c r="A109" s="1">
        <v>45473</v>
      </c>
      <c r="B109" s="2" t="s">
        <v>5</v>
      </c>
      <c r="C109" s="4">
        <v>4848.1813579999998</v>
      </c>
      <c r="D109" s="4">
        <v>9501.3087099999993</v>
      </c>
      <c r="E109" s="4">
        <v>2885.4440319999999</v>
      </c>
      <c r="F109" s="4">
        <f>Gold_ForeignExchangeRateDataset[[#This Row],[Total SBP Reserves]]+Gold_ForeignExchangeRateDataset[[#This Row],[Total Banks Reserves]]</f>
        <v>12386.752741999999</v>
      </c>
      <c r="G109" s="3">
        <f t="shared" si="2"/>
        <v>-4.3948785717999282E-2</v>
      </c>
      <c r="H109" s="3">
        <f t="shared" si="3"/>
        <v>0.66515693304959511</v>
      </c>
    </row>
    <row r="110" spans="1:8">
      <c r="A110" s="1">
        <v>45504</v>
      </c>
      <c r="B110" s="2" t="s">
        <v>5</v>
      </c>
      <c r="C110" s="4">
        <v>5046.6099999999997</v>
      </c>
      <c r="D110" s="4">
        <v>9316.36</v>
      </c>
      <c r="E110" s="4">
        <v>2526.0100000000002</v>
      </c>
      <c r="F110" s="4">
        <f>Gold_ForeignExchangeRateDataset[[#This Row],[Total SBP Reserves]]+Gold_ForeignExchangeRateDataset[[#This Row],[Total Banks Reserves]]</f>
        <v>11842.37</v>
      </c>
      <c r="G110" s="3">
        <f t="shared" si="2"/>
        <v>1.0085165469411943E-2</v>
      </c>
      <c r="H110" s="3">
        <f t="shared" si="3"/>
        <v>6.7202141702268972E-2</v>
      </c>
    </row>
    <row r="111" spans="1:8">
      <c r="A111" s="1">
        <v>45535</v>
      </c>
      <c r="B111" s="2" t="s">
        <v>5</v>
      </c>
      <c r="C111" s="4">
        <v>5229.6883820000003</v>
      </c>
      <c r="D111" s="4">
        <v>9563.8494019999998</v>
      </c>
      <c r="E111" s="4">
        <v>2397.952859</v>
      </c>
      <c r="F111" s="4">
        <f>Gold_ForeignExchangeRateDataset[[#This Row],[Total SBP Reserves]]+Gold_ForeignExchangeRateDataset[[#This Row],[Total Banks Reserves]]</f>
        <v>11961.802261000001</v>
      </c>
      <c r="G111" s="3">
        <f t="shared" si="2"/>
        <v>8.7650914730331569E-2</v>
      </c>
      <c r="H111" s="3">
        <f t="shared" si="3"/>
        <v>0.10491367523575468</v>
      </c>
    </row>
    <row r="112" spans="1:8">
      <c r="A112" s="1">
        <v>45565</v>
      </c>
      <c r="B112" s="2" t="s">
        <v>5</v>
      </c>
      <c r="C112" s="4">
        <v>5472.3054860000002</v>
      </c>
      <c r="D112" s="4">
        <v>10836.62379</v>
      </c>
      <c r="E112" s="4">
        <v>2173.6413809999999</v>
      </c>
      <c r="F112" s="4">
        <f>Gold_ForeignExchangeRateDataset[[#This Row],[Total SBP Reserves]]+Gold_ForeignExchangeRateDataset[[#This Row],[Total Banks Reserves]]</f>
        <v>13010.265170999999</v>
      </c>
      <c r="G112" s="3">
        <f t="shared" si="2"/>
        <v>2.3805121873330337E-2</v>
      </c>
      <c r="H112" s="3">
        <f t="shared" si="3"/>
        <v>0.28661189816951937</v>
      </c>
    </row>
    <row r="113" spans="1:8">
      <c r="A113" s="1">
        <v>45596</v>
      </c>
      <c r="B113" s="2" t="s">
        <v>5</v>
      </c>
      <c r="C113" s="4">
        <v>5690.4370399999998</v>
      </c>
      <c r="D113" s="4">
        <v>11328.27176</v>
      </c>
      <c r="E113" s="4">
        <v>1991.7043590000001</v>
      </c>
      <c r="F113" s="4">
        <f>Gold_ForeignExchangeRateDataset[[#This Row],[Total SBP Reserves]]+Gold_ForeignExchangeRateDataset[[#This Row],[Total Banks Reserves]]</f>
        <v>13319.976118999999</v>
      </c>
      <c r="G113" s="3">
        <f t="shared" si="2"/>
        <v>5.8749190389595841E-2</v>
      </c>
      <c r="H113" s="3">
        <f t="shared" si="3"/>
        <v>0.34840320858735058</v>
      </c>
    </row>
    <row r="114" spans="1:8">
      <c r="A114" s="1">
        <v>45626</v>
      </c>
      <c r="B114" s="2" t="s">
        <v>5</v>
      </c>
      <c r="C114" s="4">
        <v>5517.4855500000003</v>
      </c>
      <c r="D114" s="4">
        <v>12138.333479999999</v>
      </c>
      <c r="E114" s="4">
        <v>1964.1804520000001</v>
      </c>
      <c r="F114" s="4">
        <f>Gold_ForeignExchangeRateDataset[[#This Row],[Total SBP Reserves]]+Gold_ForeignExchangeRateDataset[[#This Row],[Total Banks Reserves]]</f>
        <v>14102.513932</v>
      </c>
      <c r="G114" s="3">
        <f t="shared" si="2"/>
        <v>2.3478674908356161E-3</v>
      </c>
      <c r="H114" s="3">
        <f t="shared" si="3"/>
        <v>0.45915981705848408</v>
      </c>
    </row>
    <row r="115" spans="1:8">
      <c r="A115" s="1">
        <v>45657</v>
      </c>
      <c r="B115" s="2" t="s">
        <v>5</v>
      </c>
      <c r="C115" s="4">
        <v>5434.2375110000003</v>
      </c>
      <c r="D115" s="4">
        <v>11859.86004</v>
      </c>
      <c r="E115" s="4">
        <v>2275.7647259999999</v>
      </c>
      <c r="F115" s="4">
        <f>Gold_ForeignExchangeRateDataset[[#This Row],[Total SBP Reserves]]+Gold_ForeignExchangeRateDataset[[#This Row],[Total Banks Reserves]]</f>
        <v>14135.624765999999</v>
      </c>
      <c r="G115" s="3">
        <f t="shared" si="2"/>
        <v>-2.0201899436865667E-2</v>
      </c>
      <c r="H115" s="3">
        <f t="shared" si="3"/>
        <v>0.29398629186959907</v>
      </c>
    </row>
    <row r="116" spans="1:8">
      <c r="A116" s="1">
        <v>45688</v>
      </c>
      <c r="B116" s="2" t="s">
        <v>5</v>
      </c>
      <c r="C116" s="4">
        <v>5853.9176770000004</v>
      </c>
      <c r="D116" s="4">
        <v>11514.822109999999</v>
      </c>
      <c r="E116" s="4">
        <v>2335.2361860000001</v>
      </c>
      <c r="F116" s="4">
        <f>Gold_ForeignExchangeRateDataset[[#This Row],[Total SBP Reserves]]+Gold_ForeignExchangeRateDataset[[#This Row],[Total Banks Reserves]]</f>
        <v>13850.058295999999</v>
      </c>
      <c r="G116" s="3">
        <f t="shared" si="2"/>
        <v>-3.1930696936324256E-2</v>
      </c>
      <c r="H116" s="3">
        <f t="shared" si="3"/>
        <v>0.27373001142561437</v>
      </c>
    </row>
    <row r="117" spans="1:8">
      <c r="A117" s="1">
        <v>45716</v>
      </c>
      <c r="B117" s="2" t="s">
        <v>5</v>
      </c>
      <c r="C117" s="4">
        <v>5900.7565119999999</v>
      </c>
      <c r="D117" s="4">
        <v>11364.75936</v>
      </c>
      <c r="E117" s="4">
        <v>2043.056922</v>
      </c>
      <c r="F117" s="4">
        <f>Gold_ForeignExchangeRateDataset[[#This Row],[Total SBP Reserves]]+Gold_ForeignExchangeRateDataset[[#This Row],[Total Banks Reserves]]</f>
        <v>13407.816282</v>
      </c>
      <c r="G117" s="3">
        <f t="shared" si="2"/>
        <v>-9.8936724079435601E-3</v>
      </c>
      <c r="H117" s="3">
        <f t="shared" si="3"/>
        <v>0.21894966716351932</v>
      </c>
    </row>
    <row r="118" spans="1:8">
      <c r="A118" s="1">
        <v>45747</v>
      </c>
      <c r="B118" s="2" t="s">
        <v>5</v>
      </c>
      <c r="C118" s="4">
        <v>6484.7847499999998</v>
      </c>
      <c r="D118" s="4">
        <v>10733.52932</v>
      </c>
      <c r="E118" s="4">
        <v>2541.6344199999999</v>
      </c>
      <c r="F118" s="4">
        <f>Gold_ForeignExchangeRateDataset[[#This Row],[Total SBP Reserves]]+Gold_ForeignExchangeRateDataset[[#This Row],[Total Banks Reserves]]</f>
        <v>13275.16374</v>
      </c>
      <c r="G118" s="3">
        <f t="shared" si="2"/>
        <v>-4.3888401033010553E-2</v>
      </c>
      <c r="H118" s="3">
        <f t="shared" si="3"/>
        <v>0.17843904817559328</v>
      </c>
    </row>
    <row r="119" spans="1:8">
      <c r="A119" s="1">
        <v>45777</v>
      </c>
      <c r="B119" s="2" t="s">
        <v>5</v>
      </c>
      <c r="C119" s="4">
        <v>6874.492655</v>
      </c>
      <c r="D119" s="4">
        <v>10387.60447</v>
      </c>
      <c r="E119" s="4">
        <v>2304.9335599999999</v>
      </c>
      <c r="F119" s="4">
        <f>Gold_ForeignExchangeRateDataset[[#This Row],[Total SBP Reserves]]+Gold_ForeignExchangeRateDataset[[#This Row],[Total Banks Reserves]]</f>
        <v>12692.53803</v>
      </c>
      <c r="G119" s="3">
        <f t="shared" si="2"/>
        <v>0.10233828931060521</v>
      </c>
      <c r="H119" s="3">
        <f t="shared" si="3"/>
        <v>8.7261067948822615E-2</v>
      </c>
    </row>
    <row r="120" spans="1:8">
      <c r="A120" s="1">
        <v>45808</v>
      </c>
      <c r="B120" s="2" t="s">
        <v>5</v>
      </c>
      <c r="C120" s="4">
        <v>6823.4864399999997</v>
      </c>
      <c r="D120" s="4">
        <v>11615.379349999999</v>
      </c>
      <c r="E120" s="4">
        <v>2376.0913089999999</v>
      </c>
      <c r="F120" s="4">
        <f>Gold_ForeignExchangeRateDataset[[#This Row],[Total SBP Reserves]]+Gold_ForeignExchangeRateDataset[[#This Row],[Total Banks Reserves]]</f>
        <v>13991.470658999999</v>
      </c>
      <c r="G120" s="3">
        <f t="shared" si="2"/>
        <v>0.22610724920221578</v>
      </c>
      <c r="H120" s="3">
        <f t="shared" si="3"/>
        <v>0.18952486246495787</v>
      </c>
    </row>
    <row r="121" spans="1:8">
      <c r="A121" s="1">
        <v>45838</v>
      </c>
      <c r="B121" s="2" t="s">
        <v>5</v>
      </c>
      <c r="C121" s="4">
        <v>6844.0971149999996</v>
      </c>
      <c r="D121" s="4">
        <v>14639.12903</v>
      </c>
      <c r="E121" s="4">
        <v>2515.9145720000001</v>
      </c>
      <c r="F121" s="4">
        <f>Gold_ForeignExchangeRateDataset[[#This Row],[Total SBP Reserves]]+Gold_ForeignExchangeRateDataset[[#This Row],[Total Banks Reserves]]</f>
        <v>17155.043602000002</v>
      </c>
      <c r="G121" s="3">
        <f t="shared" si="2"/>
        <v>-2.0034253539287592E-2</v>
      </c>
      <c r="H121" s="3">
        <f t="shared" si="3"/>
        <v>0.38495083895814503</v>
      </c>
    </row>
    <row r="122" spans="1:8">
      <c r="A122" s="1">
        <v>45869</v>
      </c>
      <c r="B122" s="2" t="s">
        <v>5</v>
      </c>
      <c r="C122" s="4">
        <v>6867.830618</v>
      </c>
      <c r="D122" s="4">
        <v>14428.770189999999</v>
      </c>
      <c r="E122" s="4">
        <v>2382.5849189999999</v>
      </c>
      <c r="F122" s="4">
        <f>Gold_ForeignExchangeRateDataset[[#This Row],[Total SBP Reserves]]+Gold_ForeignExchangeRateDataset[[#This Row],[Total Banks Reserves]]</f>
        <v>16811.355109</v>
      </c>
      <c r="G122" s="3">
        <f t="shared" si="2"/>
        <v>-2.2442274733582355E-3</v>
      </c>
      <c r="H122" s="3">
        <f t="shared" si="3"/>
        <v>0.41959380672956503</v>
      </c>
    </row>
    <row r="123" spans="1:8">
      <c r="A123" s="1">
        <v>45900</v>
      </c>
      <c r="B123" s="2" t="s">
        <v>5</v>
      </c>
      <c r="C123" s="4">
        <v>7139.1004030000004</v>
      </c>
      <c r="D123" s="4">
        <v>14465.855439999999</v>
      </c>
      <c r="E123" s="4">
        <v>2307.7711640000002</v>
      </c>
      <c r="F123" s="4">
        <f>Gold_ForeignExchangeRateDataset[[#This Row],[Total SBP Reserves]]+Gold_ForeignExchangeRateDataset[[#This Row],[Total Banks Reserves]]</f>
        <v>16773.626604000001</v>
      </c>
      <c r="G123" s="3">
        <f t="shared" si="2"/>
        <v>-3.3416636797335968E-2</v>
      </c>
      <c r="H123" s="3">
        <f t="shared" si="3"/>
        <v>0.4022658323560796</v>
      </c>
    </row>
    <row r="124" spans="1:8">
      <c r="A124" s="1">
        <v>45930</v>
      </c>
      <c r="B124" s="2" t="s">
        <v>5</v>
      </c>
      <c r="C124" s="4">
        <v>7964.4533620000002</v>
      </c>
      <c r="D124" s="4">
        <v>14278.489750000001</v>
      </c>
      <c r="E124" s="4">
        <v>1934.6186660000001</v>
      </c>
      <c r="F124" s="4">
        <f>Gold_ForeignExchangeRateDataset[[#This Row],[Total SBP Reserves]]+Gold_ForeignExchangeRateDataset[[#This Row],[Total Banks Reserves]]</f>
        <v>16213.108416000001</v>
      </c>
      <c r="G124" s="3">
        <f t="shared" si="2"/>
        <v>3.0923277951143861E-2</v>
      </c>
      <c r="H124" s="3">
        <f t="shared" si="3"/>
        <v>0.24617816800069295</v>
      </c>
    </row>
    <row r="125" spans="1:8">
      <c r="A125" s="1">
        <v>45961</v>
      </c>
      <c r="B125" s="2" t="s">
        <v>5</v>
      </c>
      <c r="C125" s="4">
        <v>8352.1304629999995</v>
      </c>
      <c r="D125" s="4">
        <v>14635.627189999999</v>
      </c>
      <c r="E125" s="4">
        <v>2078.8436839999999</v>
      </c>
      <c r="F125" s="4">
        <f>Gold_ForeignExchangeRateDataset[[#This Row],[Total SBP Reserves]]+Gold_ForeignExchangeRateDataset[[#This Row],[Total Banks Reserves]]</f>
        <v>16714.470873999999</v>
      </c>
      <c r="G125" s="3">
        <f t="shared" si="2"/>
        <v>-2.1196535186231475E-3</v>
      </c>
      <c r="H125" s="3">
        <f t="shared" si="3"/>
        <v>0.25484240547233372</v>
      </c>
    </row>
    <row r="126" spans="1:8">
      <c r="A126" s="1">
        <v>45991</v>
      </c>
      <c r="B126" s="2" t="s">
        <v>5</v>
      </c>
      <c r="C126" s="4">
        <v>8726.634333</v>
      </c>
      <c r="D126" s="4">
        <v>14679.29902</v>
      </c>
      <c r="E126" s="4">
        <v>1999.7429669999999</v>
      </c>
      <c r="F126" s="4">
        <f>Gold_ForeignExchangeRateDataset[[#This Row],[Total SBP Reserves]]+Gold_ForeignExchangeRateDataset[[#This Row],[Total Banks Reserves]]</f>
        <v>16679.041987000001</v>
      </c>
      <c r="G126" s="3">
        <f t="shared" si="2"/>
        <v>9.4583124572117414E-2</v>
      </c>
      <c r="H126" s="3">
        <f t="shared" si="3"/>
        <v>0.18269991204572425</v>
      </c>
    </row>
    <row r="127" spans="1:8">
      <c r="A127" s="1">
        <v>46022</v>
      </c>
      <c r="B127" s="2" t="s">
        <v>5</v>
      </c>
      <c r="C127" s="4">
        <v>9095.3651850000006</v>
      </c>
      <c r="D127" s="4">
        <v>16186.91908</v>
      </c>
      <c r="E127" s="4">
        <v>2069.678813</v>
      </c>
      <c r="F127" s="4">
        <f>Gold_ForeignExchangeRateDataset[[#This Row],[Total SBP Reserves]]+Gold_ForeignExchangeRateDataset[[#This Row],[Total Banks Reserves]]</f>
        <v>18256.597892999998</v>
      </c>
      <c r="G127" s="3">
        <f t="shared" si="2"/>
        <v>9.8184701251885463E-3</v>
      </c>
      <c r="H127" s="3">
        <f t="shared" si="3"/>
        <v>0.29153102145948684</v>
      </c>
    </row>
    <row r="128" spans="1:8">
      <c r="A128" s="1">
        <v>46053</v>
      </c>
      <c r="B128" s="2" t="s">
        <v>5</v>
      </c>
      <c r="C128" s="4">
        <v>10374.84146</v>
      </c>
      <c r="D128" s="4">
        <v>16255.663769999999</v>
      </c>
      <c r="E128" s="4">
        <v>2180.1859840000002</v>
      </c>
      <c r="F128" s="4">
        <f>Gold_ForeignExchangeRateDataset[[#This Row],[Total SBP Reserves]]+Gold_ForeignExchangeRateDataset[[#This Row],[Total Banks Reserves]]</f>
        <v>18435.849753999999</v>
      </c>
      <c r="G128" s="3">
        <f t="shared" si="2"/>
        <v>1.0776908612899434E-2</v>
      </c>
      <c r="H128" s="3">
        <f t="shared" si="3"/>
        <v>0.33110268274642646</v>
      </c>
    </row>
    <row r="129" spans="1:8">
      <c r="A129" s="1">
        <v>46081</v>
      </c>
      <c r="B129" s="2" t="s">
        <v>5</v>
      </c>
      <c r="C129" s="4">
        <v>10880.61</v>
      </c>
      <c r="D129" s="4">
        <v>16437.71731</v>
      </c>
      <c r="E129" s="4">
        <v>2196.8139120000001</v>
      </c>
      <c r="F129" s="4">
        <f>Gold_ForeignExchangeRateDataset[[#This Row],[Total SBP Reserves]]+Gold_ForeignExchangeRateDataset[[#This Row],[Total Banks Reserves]]</f>
        <v>18634.531222000001</v>
      </c>
      <c r="G129" s="3">
        <f t="shared" si="2"/>
        <v>3.7997035265586059E-2</v>
      </c>
      <c r="H129" s="3">
        <f t="shared" si="3"/>
        <v>0.38982596644144574</v>
      </c>
    </row>
    <row r="130" spans="1:8">
      <c r="A130" s="1">
        <v>46112</v>
      </c>
      <c r="B130" s="2" t="s">
        <v>5</v>
      </c>
      <c r="C130" s="4">
        <v>9601.4532650000001</v>
      </c>
      <c r="D130" s="4">
        <v>16493.640800000001</v>
      </c>
      <c r="E130" s="4">
        <v>2848.9473619999999</v>
      </c>
      <c r="F130" s="4">
        <f>Gold_ForeignExchangeRateDataset[[#This Row],[Total SBP Reserves]]+Gold_ForeignExchangeRateDataset[[#This Row],[Total Banks Reserves]]</f>
        <v>19342.588162</v>
      </c>
      <c r="G130" s="3">
        <f t="shared" ref="G130:G132" si="4">(F131-F130)/F130</f>
        <v>-3.0154607910531612E-2</v>
      </c>
      <c r="H130" s="3">
        <f t="shared" si="3"/>
        <v>0.45705081615814408</v>
      </c>
    </row>
    <row r="131" spans="1:8">
      <c r="A131" s="1">
        <v>46142</v>
      </c>
      <c r="B131" s="2" t="s">
        <v>5</v>
      </c>
      <c r="C131" s="4">
        <v>9607.7000000000007</v>
      </c>
      <c r="D131" s="4">
        <v>15976.87</v>
      </c>
      <c r="E131" s="4">
        <v>2782.45</v>
      </c>
      <c r="F131" s="4">
        <f>Gold_ForeignExchangeRateDataset[[#This Row],[Total SBP Reserves]]+Gold_ForeignExchangeRateDataset[[#This Row],[Total Banks Reserves]]</f>
        <v>18759.32</v>
      </c>
      <c r="G131" s="3">
        <f t="shared" si="4"/>
        <v>7.6195725644639625E-2</v>
      </c>
      <c r="H131" s="3">
        <f t="shared" si="3"/>
        <v>0.47798020818693582</v>
      </c>
    </row>
    <row r="132" spans="1:8">
      <c r="A132" s="1">
        <v>46173</v>
      </c>
      <c r="B132" s="2" t="s">
        <v>5</v>
      </c>
      <c r="C132" s="4">
        <v>9472.17</v>
      </c>
      <c r="D132" s="4">
        <v>17269.86</v>
      </c>
      <c r="E132" s="4">
        <v>2918.84</v>
      </c>
      <c r="F132" s="4">
        <f>Gold_ForeignExchangeRateDataset[[#This Row],[Total SBP Reserves]]+Gold_ForeignExchangeRateDataset[[#This Row],[Total Banks Reserves]]</f>
        <v>20188.7</v>
      </c>
      <c r="G132" s="3">
        <f t="shared" si="4"/>
        <v>-1</v>
      </c>
      <c r="H132" s="3">
        <f t="shared" si="3"/>
        <v>0.44292908815940951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08686E-4E75-4E05-AE6F-4A4D20658B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Dasboard Sheet</vt:lpstr>
      <vt:lpstr>YearlyTotalReserves</vt:lpstr>
      <vt:lpstr>2026Monthly</vt:lpstr>
      <vt:lpstr>YearlyMoM%</vt:lpstr>
      <vt:lpstr>YearlyYoY%</vt:lpstr>
      <vt:lpstr>Gold&amp;ForeignExchangeRateDataset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TAYYAB LATIF</dc:creator>
  <cp:lastModifiedBy>MUHAMMAD TAYYAB LATIF</cp:lastModifiedBy>
  <dcterms:created xsi:type="dcterms:W3CDTF">2026-06-30T07:31:48Z</dcterms:created>
  <dcterms:modified xsi:type="dcterms:W3CDTF">2026-06-30T08:52:48Z</dcterms:modified>
</cp:coreProperties>
</file>